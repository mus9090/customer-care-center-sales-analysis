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hidePivotFieldList="1"/>
  <mc:AlternateContent xmlns:mc="http://schemas.openxmlformats.org/markup-compatibility/2006">
    <mc:Choice Requires="x15">
      <x15ac:absPath xmlns:x15ac="http://schemas.microsoft.com/office/spreadsheetml/2010/11/ac" url="C:\Users\muska\Desktop\excel\"/>
    </mc:Choice>
  </mc:AlternateContent>
  <xr:revisionPtr revIDLastSave="0" documentId="8_{3D68AD5D-756E-49A8-97BA-DF42EB18E326}" xr6:coauthVersionLast="47" xr6:coauthVersionMax="47" xr10:uidLastSave="{00000000-0000-0000-0000-000000000000}"/>
  <bookViews>
    <workbookView xWindow="-98" yWindow="-98" windowWidth="21795" windowHeight="13695" activeTab="3" xr2:uid="{26D4546B-D2A1-4444-8EAF-A6228F96F0C1}"/>
  </bookViews>
  <sheets>
    <sheet name="Pivots" sheetId="6" r:id="rId1"/>
    <sheet name="Data" sheetId="2" r:id="rId2"/>
    <sheet name="Assets" sheetId="4" r:id="rId3"/>
    <sheet name="Customer Care Center Report" sheetId="5" r:id="rId4"/>
  </sheets>
  <definedNames>
    <definedName name="_xlnm._FilterDatabase" localSheetId="1"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3" i="5" l="1" a="1"/>
  <c r="R23" i="5" s="1"/>
  <c r="Q24" i="5" a="1"/>
  <c r="Q24" i="5" s="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E46" i="6"/>
  <c r="E46" i="6" a="1"/>
  <c r="H43" i="6"/>
  <c r="I47" i="6" s="1"/>
  <c r="H48" i="6" l="1"/>
  <c r="I48" i="6"/>
  <c r="H49" i="6"/>
  <c r="H50" i="6"/>
  <c r="I50" i="6"/>
  <c r="I49" i="6"/>
  <c r="H46" i="6"/>
  <c r="I46" i="6"/>
  <c r="H4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86ACF1-DDE4-4CBE-8192-F22861334D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8843A92-2234-4FD2-88FD-9C394E9E2584}"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46923012-0707-4DDB-AACA-109CD4A88FEE}"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<sst xmlns="http://schemas.openxmlformats.org/spreadsheetml/2006/main" count="3163" uniqueCount="1077">
  <si>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</si>
  <si>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</si>
  <si>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</si>
  <si>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</si>
  <si>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</si>
  <si>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</si>
  <si>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</si>
  <si>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</si>
  <si>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</si>
  <si>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</si>
  <si>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</si>
  <si>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</si>
  <si>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</si>
  <si>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</si>
  <si>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</si>
  <si>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</si>
  <si>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</si>
  <si>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</si>
  <si>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</si>
  <si>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</si>
  <si>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</si>
  <si>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</si>
  <si>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</si>
  <si>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</si>
  <si>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</si>
  <si>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</si>
  <si>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</si>
  <si>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</si>
  <si>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</si>
  <si>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</si>
  <si>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</si>
  <si>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</si>
  <si>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</si>
  <si>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</si>
  <si>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</si>
  <si>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</si>
  <si>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</si>
  <si>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</si>
  <si>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</si>
  <si>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</si>
  <si>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</si>
  <si>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</si>
  <si>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</si>
  <si>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</si>
  <si>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</si>
  <si>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</si>
  <si>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</si>
  <si>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</si>
  <si>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</si>
  <si>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</si>
  <si>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</si>
  <si>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</si>
  <si>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</si>
  <si>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</si>
  <si>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</si>
  <si>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</si>
  <si>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</si>
  <si>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</si>
  <si>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</si>
  <si>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</si>
  <si>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</si>
  <si>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</si>
  <si>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</si>
  <si>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</si>
  <si>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</si>
  <si>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</si>
  <si>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</si>
  <si>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</si>
  <si>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</si>
  <si>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</si>
  <si>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</si>
  <si>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</si>
  <si>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</si>
  <si>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</si>
  <si>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</si>
  <si>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</si>
  <si>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</si>
  <si>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</si>
  <si>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</si>
  <si>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</si>
  <si>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</si>
  <si>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</si>
  <si>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</si>
  <si>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</si>
  <si>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</si>
  <si>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</si>
  <si>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</si>
  <si>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</si>
  <si>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</si>
  <si>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</si>
  <si>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</si>
  <si>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</si>
  <si>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</si>
  <si>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</si>
  <si>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</si>
  <si>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</si>
  <si>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</si>
  <si>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</si>
  <si>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</si>
  <si>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</si>
  <si>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</si>
  <si>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</si>
  <si>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</si>
  <si>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</si>
  <si>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</si>
  <si>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</si>
  <si>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</si>
  <si>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</si>
  <si>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</si>
  <si>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</si>
  <si>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</si>
  <si>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</si>
  <si>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</si>
  <si>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</si>
  <si>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</si>
  <si>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</si>
  <si>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</si>
  <si>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</si>
  <si>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</si>
  <si>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</si>
  <si>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</si>
  <si>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</si>
  <si>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</si>
  <si>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</si>
  <si>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</si>
  <si>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</si>
  <si>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</si>
  <si>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</si>
  <si>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</si>
  <si>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</si>
  <si>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</si>
  <si>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</si>
  <si>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</si>
  <si>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</si>
  <si>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</si>
  <si>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</si>
  <si>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</si>
  <si>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</si>
  <si>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</si>
  <si>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</si>
  <si>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</si>
  <si>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</si>
  <si>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</si>
  <si>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</si>
  <si>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</si>
  <si>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</si>
  <si>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</si>
  <si>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</si>
  <si>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</si>
  <si>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</si>
  <si>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</si>
  <si>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</si>
  <si>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</si>
  <si>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</si>
  <si>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</si>
  <si>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</si>
  <si>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</si>
  <si>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</si>
  <si>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</si>
  <si>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</si>
  <si>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</si>
  <si>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</si>
  <si>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</si>
  <si>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</si>
  <si>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</si>
  <si>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</si>
  <si>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</si>
  <si>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</si>
  <si>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</si>
  <si>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</si>
  <si>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</si>
  <si>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</si>
  <si>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</si>
  <si>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</si>
  <si>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</si>
  <si>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</si>
  <si>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</si>
  <si>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</si>
  <si>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</si>
  <si>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</si>
  <si>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</si>
  <si>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</si>
  <si>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</si>
  <si>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</si>
  <si>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</si>
  <si>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</si>
  <si>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</si>
  <si>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</si>
  <si>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</si>
  <si>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</si>
  <si>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</si>
  <si>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</si>
  <si>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</si>
  <si>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</si>
  <si>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</si>
  <si>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</si>
  <si>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</si>
  <si>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</si>
  <si>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</si>
  <si>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</si>
  <si>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</si>
  <si>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</si>
  <si>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</si>
  <si>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</si>
  <si>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</si>
  <si>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</si>
  <si>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</si>
  <si>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</si>
  <si>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</si>
  <si>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</si>
  <si>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</si>
  <si>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</si>
  <si>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</si>
  <si>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</si>
  <si>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</si>
  <si>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</si>
  <si>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</si>
  <si>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</si>
  <si>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</si>
  <si>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</si>
  <si>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</si>
  <si>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</si>
  <si>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</si>
  <si>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</si>
  <si>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</si>
  <si>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</si>
  <si>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</si>
  <si>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</si>
  <si>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</si>
  <si>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</si>
  <si>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</si>
  <si>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</si>
  <si>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</si>
  <si>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</si>
  <si>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</si>
  <si>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</si>
  <si>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</si>
  <si>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</si>
  <si>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</si>
  <si>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</si>
  <si>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</si>
  <si>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</si>
  <si>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</si>
  <si>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</si>
  <si>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</si>
  <si>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</si>
  <si>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</si>
  <si>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</si>
  <si>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</si>
  <si>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</si>
  <si>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</si>
  <si>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</si>
  <si>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</si>
  <si>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</si>
  <si>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</si>
  <si>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</si>
  <si>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</si>
  <si>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</si>
  <si>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</si>
  <si>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</si>
  <si>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</si>
  <si>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</si>
  <si>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</si>
  <si>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</si>
  <si>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</si>
  <si>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</si>
  <si>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</si>
  <si>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</si>
  <si>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</si>
  <si>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</si>
  <si>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</si>
  <si>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</si>
  <si>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</si>
  <si>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</si>
  <si>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</si>
  <si>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</si>
  <si>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</si>
  <si>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</si>
  <si>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</si>
  <si>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</si>
  <si>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</si>
  <si>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</si>
  <si>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</si>
  <si>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</si>
  <si>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</si>
  <si>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</si>
  <si>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</si>
  <si>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</si>
  <si>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</si>
  <si>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</si>
  <si>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</si>
  <si>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</si>
  <si>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</si>
  <si>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</si>
  <si>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</si>
  <si>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</si>
  <si>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</si>
  <si>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</si>
  <si>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</si>
  <si>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</si>
  <si>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</si>
  <si>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</si>
  <si>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</si>
  <si>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</si>
  <si>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</si>
  <si>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</si>
  <si>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</si>
  <si>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</si>
  <si>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</si>
  <si>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</si>
  <si>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</si>
  <si>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</si>
  <si>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</si>
  <si>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</si>
  <si>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</si>
  <si>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</si>
  <si>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</si>
  <si>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</si>
  <si>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</si>
  <si>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</si>
  <si>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</si>
  <si>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</si>
  <si>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</si>
  <si>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</si>
  <si>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</si>
  <si>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</si>
  <si>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</si>
  <si>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</si>
  <si>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</si>
  <si>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</si>
  <si>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</si>
  <si>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</si>
  <si>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</si>
  <si>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</si>
  <si>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</si>
  <si>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</si>
  <si>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</si>
  <si>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</si>
  <si>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</si>
  <si>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</si>
  <si>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</si>
  <si>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</si>
  <si>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</si>
  <si>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</si>
  <si>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</si>
  <si>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</si>
  <si>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</si>
  <si>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</si>
  <si>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</si>
  <si>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</si>
  <si>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</si>
  <si>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</si>
  <si>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</si>
  <si>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</si>
  <si>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</si>
  <si>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</si>
  <si>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</si>
  <si>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</si>
  <si>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</si>
  <si>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</si>
  <si>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</si>
  <si>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</si>
  <si>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</si>
  <si>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</si>
  <si>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</si>
  <si>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</si>
  <si>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</si>
  <si>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</si>
  <si>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</si>
  <si>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</si>
  <si>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</si>
  <si>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</si>
  <si>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</si>
  <si>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</si>
  <si>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</si>
  <si>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</si>
  <si>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</si>
  <si>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</si>
  <si>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</si>
  <si>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</si>
  <si>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</si>
  <si>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</si>
  <si>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</si>
  <si>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</si>
  <si>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</si>
  <si>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</si>
  <si>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</si>
  <si>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</si>
  <si>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</si>
  <si>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</si>
  <si>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</si>
  <si>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</si>
  <si>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</si>
  <si>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</si>
  <si>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</si>
  <si>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</si>
  <si>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</si>
  <si>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</si>
  <si>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</si>
  <si>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</si>
  <si>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</si>
  <si>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</si>
  <si>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</si>
  <si>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</si>
  <si>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</si>
  <si>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</si>
  <si>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</si>
  <si>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</si>
  <si>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</si>
  <si>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</si>
  <si>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</si>
  <si>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</si>
  <si>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</si>
  <si>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</si>
  <si>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</si>
  <si>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</si>
  <si>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</si>
  <si>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</si>
  <si>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</si>
  <si>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</si>
  <si>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</si>
  <si>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</si>
  <si>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</si>
  <si>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</si>
  <si>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</si>
  <si>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</si>
  <si>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</si>
  <si>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</si>
  <si>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</si>
  <si>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</si>
  <si>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</si>
  <si>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</si>
  <si>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</si>
  <si>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</si>
  <si>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</si>
  <si>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</si>
  <si>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</si>
  <si>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</si>
  <si>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</si>
  <si>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</si>
  <si>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</si>
  <si>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</si>
  <si>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</si>
  <si>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</si>
  <si>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</si>
  <si>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</si>
  <si>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</si>
  <si>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</si>
  <si>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</si>
  <si>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</si>
  <si>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</si>
  <si>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</si>
  <si>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</si>
  <si>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</si>
  <si>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</si>
  <si>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</si>
  <si>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</si>
  <si>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</si>
  <si>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</si>
  <si>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</si>
  <si>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</si>
  <si>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</si>
  <si>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</si>
  <si>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</si>
  <si>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</si>
  <si>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</si>
  <si>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</si>
  <si>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</si>
  <si>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</si>
  <si>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</si>
  <si>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</si>
  <si>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</si>
  <si>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</si>
  <si>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</si>
  <si>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</si>
  <si>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</si>
  <si>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</si>
  <si>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</si>
  <si>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</si>
  <si>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</si>
  <si>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</si>
  <si>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</si>
  <si>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</si>
  <si>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</si>
  <si>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</si>
  <si>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</si>
  <si>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</si>
  <si>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</si>
  <si>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</si>
  <si>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</si>
  <si>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</si>
  <si>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</si>
  <si>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</si>
  <si>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</si>
  <si>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</si>
  <si>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</si>
  <si>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</si>
  <si>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</si>
  <si>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</si>
  <si>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</si>
  <si>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</si>
  <si>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</si>
  <si>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</si>
  <si>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</si>
  <si>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</si>
  <si>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</si>
  <si>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</si>
  <si>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</si>
  <si>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</si>
  <si>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</si>
  <si>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</si>
  <si>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</si>
  <si>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</si>
  <si>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</si>
  <si>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</si>
  <si>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</si>
  <si>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</si>
  <si>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</si>
  <si>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</si>
  <si>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</si>
  <si>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</si>
  <si>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</si>
  <si>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</si>
  <si>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</si>
  <si>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</si>
  <si>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</si>
  <si>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</si>
  <si>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</si>
  <si>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</si>
  <si>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</si>
  <si>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</si>
  <si>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</si>
  <si>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</si>
  <si>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</si>
  <si>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</si>
  <si>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</si>
  <si>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</si>
  <si>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</si>
  <si>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</si>
  <si>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</si>
  <si>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</si>
  <si>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</si>
  <si>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</si>
  <si>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</si>
  <si>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</si>
  <si>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</si>
  <si>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</si>
  <si>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</si>
  <si>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</si>
  <si>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</si>
  <si>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</si>
  <si>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</si>
  <si>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</si>
  <si>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</si>
  <si>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</si>
  <si>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</si>
  <si>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</si>
  <si>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</si>
  <si>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</si>
  <si>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</si>
  <si>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</si>
  <si>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</si>
  <si>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</si>
  <si>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</si>
  <si>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</si>
  <si>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</si>
  <si>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</si>
  <si>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</si>
  <si>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</si>
  <si>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</si>
  <si>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</si>
  <si>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</si>
  <si>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</si>
  <si>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</si>
  <si>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</si>
  <si>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</si>
  <si>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</si>
  <si>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</si>
  <si>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</si>
  <si>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</si>
  <si>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</si>
  <si>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</si>
  <si>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</si>
  <si>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</si>
  <si>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</si>
  <si>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</si>
  <si>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</si>
  <si>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</si>
  <si>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</si>
  <si>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</si>
  <si>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</si>
  <si>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</si>
  <si>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</si>
  <si>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</si>
  <si>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</si>
  <si>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</si>
  <si>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</si>
  <si>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</si>
  <si>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</si>
  <si>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</si>
  <si>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</si>
  <si>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</si>
  <si>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</si>
  <si>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</si>
  <si>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</si>
  <si>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</si>
  <si>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</si>
  <si>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</si>
  <si>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</si>
  <si>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</si>
  <si>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</si>
  <si>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</si>
  <si>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</si>
  <si>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</si>
  <si>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</si>
  <si>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</si>
  <si>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</si>
  <si>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</si>
  <si>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</si>
  <si>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</si>
  <si>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</si>
  <si>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</si>
  <si>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</si>
  <si>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</si>
  <si>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</si>
  <si>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</si>
  <si>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</si>
  <si>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</si>
  <si>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</si>
  <si>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</si>
  <si>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</si>
  <si>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</si>
  <si>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</si>
  <si>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</si>
  <si>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</si>
  <si>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</si>
  <si>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</si>
  <si>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</si>
  <si>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</si>
  <si>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</si>
  <si>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</si>
  <si>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</si>
  <si>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</si>
  <si>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</si>
  <si>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</si>
  <si>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</si>
  <si>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</si>
  <si>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</si>
  <si>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</si>
  <si>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</si>
  <si>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</si>
  <si>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</si>
  <si>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</si>
  <si>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</si>
  <si>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</si>
  <si>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</si>
  <si>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</si>
  <si>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</si>
  <si>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</si>
  <si>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</si>
  <si>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</si>
  <si>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</si>
  <si>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</si>
  <si>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</si>
  <si>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</si>
  <si>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</si>
  <si>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</si>
  <si>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</si>
  <si>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</si>
  <si>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</si>
  <si>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</si>
  <si>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</si>
  <si>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</si>
  <si>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</si>
  <si>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</si>
  <si>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</si>
  <si>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</si>
  <si>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</si>
  <si>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</si>
  <si>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</si>
  <si>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</si>
  <si>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</si>
  <si>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</si>
  <si>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</si>
  <si>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</si>
  <si>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</si>
  <si>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</si>
  <si>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</si>
  <si>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</si>
  <si>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</si>
  <si>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</si>
  <si>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</si>
  <si>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</si>
  <si>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</si>
  <si>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</si>
  <si>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</si>
  <si>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</si>
  <si>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</si>
  <si>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</si>
  <si>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</si>
  <si>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</si>
  <si>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</si>
  <si>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</si>
  <si>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</si>
  <si>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</si>
  <si>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</si>
  <si>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</si>
  <si>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</si>
  <si>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</si>
  <si>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</si>
  <si>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</si>
  <si>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</si>
  <si>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</si>
  <si>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</si>
  <si>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</si>
  <si>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</si>
  <si>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</si>
  <si>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</si>
  <si>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</si>
  <si>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</si>
  <si>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</si>
  <si>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</si>
  <si>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</si>
  <si>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</si>
  <si>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</si>
  <si>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</si>
  <si>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</si>
  <si>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</si>
  <si>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</si>
  <si>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</si>
  <si>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</si>
  <si>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</si>
  <si>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</si>
  <si>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</si>
  <si>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</si>
  <si>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</si>
  <si>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</si>
  <si>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</si>
  <si>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</si>
  <si>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</si>
  <si>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</si>
  <si>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</si>
  <si>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</si>
  <si>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</si>
  <si>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</si>
  <si>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</si>
  <si>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</si>
  <si>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</si>
  <si>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</si>
  <si>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</si>
  <si>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</si>
  <si>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</si>
  <si>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</si>
  <si>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</si>
  <si>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</si>
  <si>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</si>
  <si>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</si>
  <si>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</si>
  <si>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</si>
  <si>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</si>
  <si>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</si>
  <si>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</si>
  <si>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</si>
  <si>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</si>
  <si>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</si>
  <si>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</si>
  <si>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</si>
  <si>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</si>
  <si>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</si>
  <si>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</si>
  <si>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</si>
  <si>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</si>
  <si>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</si>
  <si>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</si>
  <si>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</si>
  <si>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</si>
  <si>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</si>
  <si>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</si>
  <si>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</si>
  <si>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</si>
  <si>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</si>
  <si>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</si>
  <si>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</si>
  <si>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</si>
  <si>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</si>
  <si>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</si>
  <si>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</si>
  <si>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</si>
  <si>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</si>
  <si>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</si>
  <si>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</si>
  <si>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</si>
  <si>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</si>
  <si>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</si>
  <si>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</si>
  <si>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</si>
  <si>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</si>
  <si>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</si>
  <si>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</si>
  <si>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</si>
  <si>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</si>
  <si>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</si>
  <si>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</si>
  <si>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</si>
  <si>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</si>
  <si>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</si>
  <si>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</si>
  <si>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</si>
  <si>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</si>
  <si>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</si>
  <si>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</si>
  <si>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</si>
  <si>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</si>
  <si>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</si>
  <si>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</si>
  <si>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</si>
  <si>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</si>
  <si>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</si>
  <si>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</si>
  <si>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</si>
  <si>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</si>
  <si>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</si>
  <si>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</si>
  <si>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</si>
  <si>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</si>
  <si>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</si>
  <si>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</si>
  <si>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</si>
  <si>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</si>
  <si>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</si>
  <si>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</si>
  <si>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</si>
  <si>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</si>
  <si>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</si>
  <si>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</si>
  <si>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</si>
  <si>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</si>
  <si>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</si>
  <si>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</si>
  <si>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</si>
  <si>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</si>
  <si>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</si>
  <si>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</si>
  <si>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</si>
  <si>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</si>
  <si>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</si>
  <si>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</si>
  <si>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</si>
  <si>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</si>
  <si>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</si>
  <si>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</si>
  <si>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</si>
  <si>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</si>
  <si>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</si>
  <si>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</si>
  <si>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</si>
  <si>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</si>
  <si>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</si>
  <si>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</si>
  <si>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</si>
  <si>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</si>
  <si>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</si>
  <si>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</si>
  <si>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</si>
  <si>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</si>
  <si>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</si>
  <si>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</si>
  <si>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</si>
  <si>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</si>
  <si>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</si>
  <si>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</si>
  <si>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</si>
  <si>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</si>
  <si>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</si>
  <si>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</si>
  <si>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</si>
  <si>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</si>
  <si>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</si>
  <si>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</si>
  <si>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</si>
  <si>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</si>
  <si>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</si>
  <si>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</si>
  <si>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</si>
  <si>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</si>
  <si>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</si>
  <si>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</si>
  <si>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</si>
  <si>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</si>
  <si>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</si>
  <si>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</si>
  <si>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</si>
  <si>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</si>
  <si>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</si>
  <si>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</si>
  <si>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</si>
  <si>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</si>
  <si>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</si>
  <si>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</si>
  <si>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</si>
  <si>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</si>
  <si>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</si>
  <si>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</si>
  <si>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</si>
  <si>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</si>
  <si>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</si>
  <si>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</si>
  <si>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</si>
  <si>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</si>
  <si>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</si>
  <si>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</si>
  <si>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</si>
  <si>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</si>
  <si>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</si>
  <si>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</si>
  <si>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</si>
  <si>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</si>
  <si>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</si>
  <si>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</si>
  <si>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</si>
  <si>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</si>
  <si>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</si>
  <si>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</si>
  <si>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</si>
  <si>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</si>
  <si>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</si>
  <si>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</si>
  <si>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</si>
  <si>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</si>
  <si>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</si>
  <si>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</si>
  <si>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</si>
  <si>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</si>
  <si>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</si>
  <si>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</si>
  <si>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</si>
  <si>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</si>
  <si>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</si>
  <si>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</si>
  <si>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</si>
  <si>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</si>
  <si>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</si>
  <si>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</si>
  <si>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</si>
  <si>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</si>
  <si>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</si>
  <si>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</si>
  <si>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</si>
  <si>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</si>
  <si>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</si>
  <si>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</si>
  <si>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</si>
  <si>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</si>
  <si>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</si>
  <si>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</si>
  <si>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</si>
  <si>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</si>
  <si>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</si>
  <si>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</si>
  <si>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</si>
  <si>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</si>
  <si>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</si>
  <si>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</si>
  <si>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</si>
  <si>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</si>
  <si>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</si>
  <si>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</si>
  <si>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</si>
  <si>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</si>
  <si>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</si>
  <si>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</si>
  <si>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</si>
  <si>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</si>
  <si>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</si>
  <si>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</si>
  <si>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</si>
  <si>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</si>
  <si>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</si>
  <si>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</si>
  <si>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</si>
  <si>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</si>
  <si>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</si>
  <si>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</si>
  <si>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</si>
  <si>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</si>
  <si>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</si>
  <si>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</si>
  <si>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</si>
  <si>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</si>
  <si>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</si>
  <si>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</si>
  <si>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</si>
  <si>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</si>
  <si>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</si>
  <si>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</si>
  <si>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</si>
  <si>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</si>
  <si>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</si>
  <si>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</si>
  <si>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</si>
  <si>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</si>
  <si>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</si>
  <si>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</si>
  <si>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</si>
  <si>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</si>
  <si>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</si>
  <si>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</si>
  <si>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</si>
  <si>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</si>
  <si>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</si>
  <si>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</si>
  <si>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</si>
  <si>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</si>
  <si>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</si>
  <si>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</si>
  <si>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</si>
  <si>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</si>
  <si>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</si>
  <si>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</si>
  <si>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</si>
  <si>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</si>
  <si>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</si>
  <si>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</si>
  <si>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</si>
  <si>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</si>
  <si>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</si>
  <si>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</si>
  <si>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</si>
  <si>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</si>
  <si>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</si>
  <si>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</si>
  <si>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</si>
  <si>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</si>
  <si>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</si>
  <si>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</si>
  <si>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</si>
  <si>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</si>
  <si>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</si>
  <si>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</si>
  <si>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</si>
  <si>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</si>
  <si>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</si>
  <si>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</si>
  <si>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Amout</t>
  </si>
  <si>
    <t>Total Duration</t>
  </si>
  <si>
    <t>Avg Rating</t>
  </si>
  <si>
    <t>5* calls</t>
  </si>
  <si>
    <t>Row Labels</t>
  </si>
  <si>
    <t>Grand Total</t>
  </si>
  <si>
    <t>Jan</t>
  </si>
  <si>
    <t>Feb</t>
  </si>
  <si>
    <t>Mar</t>
  </si>
  <si>
    <t>Apr</t>
  </si>
  <si>
    <t>May</t>
  </si>
  <si>
    <t>Jun</t>
  </si>
  <si>
    <t>Jul</t>
  </si>
  <si>
    <t>Aug</t>
  </si>
  <si>
    <t>Sep</t>
  </si>
  <si>
    <t>Oct</t>
  </si>
  <si>
    <t>Nov</t>
  </si>
  <si>
    <t>Dec</t>
  </si>
  <si>
    <t>Call count2</t>
  </si>
  <si>
    <t>Saturday</t>
  </si>
  <si>
    <t>Sunday</t>
  </si>
  <si>
    <t>Tuesday</t>
  </si>
  <si>
    <t>Wednesday</t>
  </si>
  <si>
    <t>Thursday</t>
  </si>
  <si>
    <t>Friday</t>
  </si>
  <si>
    <t>Monday</t>
  </si>
  <si>
    <t>Rep</t>
  </si>
  <si>
    <t>Amount</t>
  </si>
  <si>
    <t>Sel. Calls</t>
  </si>
  <si>
    <t>Sel. Amount</t>
  </si>
  <si>
    <t>rep no</t>
  </si>
  <si>
    <t>Column Labels</t>
  </si>
  <si>
    <t>TOTAL</t>
  </si>
  <si>
    <t>CALL  CENTER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</si>
</sst>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0,&quot;k&quot;"/>
    <numFmt numFmtId="168" formatCode="[$$-409]#,##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6"/>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s>
  <cellStyleXfs count="1">
    <xf numFmtId="0" fontId="0" fillId="0" borderId="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5" borderId="0" xfId="0" applyFill="1"/>
    <xf numFmtId="0" fontId="0" fillId="0" borderId="0" xfId="0" applyAlignment="1">
      <alignment horizontal="left" indent="1"/>
    </xf>
    <xf numFmtId="0" fontId="1" fillId="0" borderId="10" xfId="0" applyFont="1" applyBorder="1" applyAlignment="1">
      <alignment horizontal="left"/>
    </xf>
    <xf numFmtId="0" fontId="1" fillId="0" borderId="10" xfId="0" applyFont="1" applyBorder="1"/>
    <xf numFmtId="0" fontId="0" fillId="4" borderId="0" xfId="0" applyFill="1" applyAlignment="1">
      <alignment horizontal="left"/>
    </xf>
    <xf numFmtId="0" fontId="0" fillId="5" borderId="9" xfId="0" applyFill="1" applyBorder="1"/>
    <xf numFmtId="0" fontId="0" fillId="5" borderId="14" xfId="0" applyFill="1" applyBorder="1"/>
    <xf numFmtId="168" fontId="0" fillId="5" borderId="0" xfId="0" applyNumberFormat="1" applyFill="1"/>
    <xf numFmtId="168" fontId="0" fillId="5" borderId="14" xfId="0" applyNumberFormat="1" applyFill="1" applyBorder="1"/>
    <xf numFmtId="168" fontId="0" fillId="5" borderId="13" xfId="0" applyNumberFormat="1" applyFill="1" applyBorder="1"/>
    <xf numFmtId="168" fontId="0" fillId="5" borderId="4" xfId="0" applyNumberFormat="1" applyFill="1" applyBorder="1"/>
    <xf numFmtId="0" fontId="1" fillId="5" borderId="11" xfId="0" applyFont="1" applyFill="1" applyBorder="1" applyAlignment="1">
      <alignment horizontal="center" vertical="center"/>
    </xf>
    <xf numFmtId="0" fontId="1" fillId="5" borderId="12" xfId="0" applyFont="1" applyFill="1" applyBorder="1" applyAlignment="1">
      <alignment horizontal="left" indent="1"/>
    </xf>
    <xf numFmtId="0" fontId="1" fillId="5" borderId="6" xfId="0" applyFont="1" applyFill="1" applyBorder="1" applyAlignment="1">
      <alignment horizontal="left" indent="1"/>
    </xf>
    <xf numFmtId="0" fontId="1" fillId="5" borderId="7" xfId="0" applyFont="1" applyFill="1" applyBorder="1" applyAlignment="1">
      <alignment horizontal="right" vertical="center"/>
    </xf>
    <xf numFmtId="0" fontId="4" fillId="3" borderId="0" xfId="0" applyFont="1" applyFill="1"/>
    <xf numFmtId="0" fontId="1" fillId="3" borderId="0" xfId="0" applyFont="1" applyFill="1"/>
  </cellXfs>
  <cellStyles count="1">
    <cellStyle name="Normal" xfId="0" builtinId="0"/>
  </cellStyles>
  <dxfs count="22">
    <dxf>
      <fill>
        <patternFill>
          <bgColor theme="8" tint="0.39994506668294322"/>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color theme="1"/>
      </font>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1"/>
    </tableStyle>
    <tableStyle name="SlicerStyleDark5 2" pivot="0" table="0" count="10" xr9:uid="{D6E94477-9846-4508-AF5F-AB2307EEA786}">
      <tableStyleElement type="wholeTable" dxfId="20"/>
      <tableStyleElement type="headerRow" dxfId="19"/>
    </tableStyle>
    <tableStyle name="SlicerStyleDark5 3" pivot="0" table="0" count="10" xr9:uid="{9DECF296-C8BF-4A57-AEB9-224C7BCF8DB1}">
      <tableStyleElement type="wholeTable" dxfId="18"/>
      <tableStyleElement type="headerRow" dxfId="1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0" tint="-0.24994659260841701"/>
              <bgColor theme="0" tint="-0.1499679555650502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[CallCentreReport2023.xlsx]Pivots!calls by weekday</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58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Pivots!$B$34</c:f>
              <c:strCache>
                <c:ptCount val="1"/>
                <c:pt idx="0">
                  <c:v>Total</c:v>
                </c:pt>
              </c:strCache>
            </c:strRef>
          </c:tx>
          <c:spPr>
            <a:solidFill>
              <a:schemeClr val="accent5"/>
            </a:solidFill>
            <a:ln w="15875">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Sunday</c:v>
                </c:pt>
                <c:pt idx="1">
                  <c:v>Monday</c:v>
                </c:pt>
                <c:pt idx="2">
                  <c:v>Tuesday</c:v>
                </c:pt>
                <c:pt idx="3">
                  <c:v>Wednesday</c:v>
                </c:pt>
                <c:pt idx="4">
                  <c:v>Thursday</c:v>
                </c:pt>
                <c:pt idx="5">
                  <c:v>Friday</c:v>
                </c:pt>
                <c:pt idx="6">
                  <c:v>Saturday</c:v>
                </c:pt>
              </c:strCache>
            </c:strRef>
          </c:cat>
          <c:val>
            <c:numRef>
              <c:f>Pivots!$B$35:$B$42</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4AF9-462D-9D82-A77E8A45BC36}"/>
            </c:ext>
          </c:extLst>
        </c:ser>
        <c:dLbls>
          <c:dLblPos val="outEnd"/>
          <c:showLegendKey val="0"/>
          <c:showVal val="1"/>
          <c:showCatName val="0"/>
          <c:showSerName val="0"/>
          <c:showPercent val="0"/>
          <c:showBubbleSize val="0"/>
        </c:dLbls>
        <c:gapWidth val="50"/>
        <c:axId val="957167984"/>
        <c:axId val="957155024"/>
      </c:barChart>
      <c:catAx>
        <c:axId val="9571679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155024"/>
        <c:crosses val="autoZero"/>
        <c:auto val="1"/>
        <c:lblAlgn val="ctr"/>
        <c:lblOffset val="100"/>
        <c:noMultiLvlLbl val="0"/>
      </c:catAx>
      <c:valAx>
        <c:axId val="957155024"/>
        <c:scaling>
          <c:orientation val="minMax"/>
        </c:scaling>
        <c:delete val="1"/>
        <c:axPos val="t"/>
        <c:numFmt formatCode="#,##0" sourceLinked="1"/>
        <c:majorTickMark val="out"/>
        <c:minorTickMark val="none"/>
        <c:tickLblPos val="nextTo"/>
        <c:crossAx val="9571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[CallCentreReport2023.xlsx]Pivots!monthly calls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solidFill>
              </a:rPr>
              <a:t>Call</a:t>
            </a:r>
            <a:r>
              <a:rPr lang="en-IN" sz="1600" b="1" baseline="0">
                <a:solidFill>
                  <a:schemeClr val="accent6"/>
                </a:solidFill>
              </a:rPr>
              <a:t> Trends</a:t>
            </a:r>
            <a:endParaRPr lang="en-IN" sz="1600" b="1">
              <a:solidFill>
                <a:schemeClr val="accent6"/>
              </a:solidFill>
            </a:endParaRPr>
          </a:p>
        </c:rich>
      </c:tx>
      <c:layout>
        <c:manualLayout>
          <c:xMode val="edge"/>
          <c:yMode val="edge"/>
          <c:x val="1.5190835513071618E-2"/>
          <c:y val="2.72589807072954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alpha val="50000"/>
                </a:schemeClr>
              </a:gs>
              <a:gs pos="100000">
                <a:schemeClr val="accent6"/>
              </a:gs>
              <a:gs pos="100000">
                <a:schemeClr val="accent1">
                  <a:lumMod val="45000"/>
                  <a:lumOff val="55000"/>
                </a:schemeClr>
              </a:gs>
              <a:gs pos="100000">
                <a:schemeClr val="accent1">
                  <a:lumMod val="30000"/>
                  <a:lumOff val="7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6"/>
            </a:solidFill>
            <a:round/>
          </a:ln>
          <a:effectLst/>
        </c:spPr>
        <c:marker>
          <c:symbol val="circle"/>
          <c:size val="7"/>
          <c:spPr>
            <a:solidFill>
              <a:schemeClr val="bg1"/>
            </a:solidFill>
            <a:ln w="25400">
              <a:solidFill>
                <a:schemeClr val="tx1"/>
              </a:solidFill>
            </a:ln>
            <a:effectLst/>
          </c:spPr>
        </c:marker>
      </c:pivotFmt>
    </c:pivotFmts>
    <c:plotArea>
      <c:layout/>
      <c:areaChart>
        <c:grouping val="standard"/>
        <c:varyColors val="0"/>
        <c:ser>
          <c:idx val="1"/>
          <c:order val="1"/>
          <c:tx>
            <c:strRef>
              <c:f>Pivots!$C$18</c:f>
              <c:strCache>
                <c:ptCount val="1"/>
                <c:pt idx="0">
                  <c:v>Call count2</c:v>
                </c:pt>
              </c:strCache>
            </c:strRef>
          </c:tx>
          <c:spPr>
            <a:gradFill flip="none" rotWithShape="1">
              <a:gsLst>
                <a:gs pos="0">
                  <a:schemeClr val="accent6">
                    <a:lumMod val="40000"/>
                    <a:lumOff val="60000"/>
                    <a:alpha val="50000"/>
                  </a:schemeClr>
                </a:gs>
                <a:gs pos="100000">
                  <a:schemeClr val="accent6"/>
                </a:gs>
                <a:gs pos="100000">
                  <a:schemeClr val="accent1">
                    <a:lumMod val="45000"/>
                    <a:lumOff val="55000"/>
                  </a:schemeClr>
                </a:gs>
                <a:gs pos="100000">
                  <a:schemeClr val="accent1">
                    <a:lumMod val="30000"/>
                    <a:lumOff val="70000"/>
                  </a:schemeClr>
                </a:gs>
              </a:gsLst>
              <a:lin ang="16200000" scaled="1"/>
              <a:tileRect/>
            </a:gradFill>
            <a:ln>
              <a:noFill/>
            </a:ln>
            <a:effectLst/>
          </c:spP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Pivots!$C$19:$C$31</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2611-4DEA-B7D2-AE2A444A92F9}"/>
            </c:ext>
          </c:extLst>
        </c:ser>
        <c:dLbls>
          <c:showLegendKey val="0"/>
          <c:showVal val="0"/>
          <c:showCatName val="0"/>
          <c:showSerName val="0"/>
          <c:showPercent val="0"/>
          <c:showBubbleSize val="0"/>
        </c:dLbls>
        <c:axId val="826156848"/>
        <c:axId val="826157328"/>
      </c:areaChart>
      <c:lineChart>
        <c:grouping val="standard"/>
        <c:varyColors val="0"/>
        <c:ser>
          <c:idx val="0"/>
          <c:order val="0"/>
          <c:tx>
            <c:strRef>
              <c:f>Pivots!$B$18</c:f>
              <c:strCache>
                <c:ptCount val="1"/>
                <c:pt idx="0">
                  <c:v>Call count</c:v>
                </c:pt>
              </c:strCache>
            </c:strRef>
          </c:tx>
          <c:spPr>
            <a:ln w="31750" cap="rnd">
              <a:solidFill>
                <a:schemeClr val="accent6"/>
              </a:solidFill>
              <a:round/>
            </a:ln>
            <a:effectLst/>
          </c:spPr>
          <c:marker>
            <c:symbol val="circle"/>
            <c:size val="7"/>
            <c:spPr>
              <a:solidFill>
                <a:schemeClr val="bg1"/>
              </a:solidFill>
              <a:ln w="25400">
                <a:solidFill>
                  <a:schemeClr val="tx1"/>
                </a:solidFill>
              </a:ln>
              <a:effectLst/>
            </c:spPr>
          </c:marke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Pivots!$B$19:$B$31</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2611-4DEA-B7D2-AE2A444A92F9}"/>
            </c:ext>
          </c:extLst>
        </c:ser>
        <c:dLbls>
          <c:showLegendKey val="0"/>
          <c:showVal val="0"/>
          <c:showCatName val="0"/>
          <c:showSerName val="0"/>
          <c:showPercent val="0"/>
          <c:showBubbleSize val="0"/>
        </c:dLbls>
        <c:marker val="1"/>
        <c:smooth val="0"/>
        <c:axId val="826156848"/>
        <c:axId val="826157328"/>
      </c:lineChart>
      <c:catAx>
        <c:axId val="8261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157328"/>
        <c:crosses val="autoZero"/>
        <c:auto val="1"/>
        <c:lblAlgn val="ctr"/>
        <c:lblOffset val="100"/>
        <c:noMultiLvlLbl val="0"/>
      </c:catAx>
      <c:valAx>
        <c:axId val="826157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15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2000" b="1" i="0" u="none" strike="noStrike" kern="1200" spc="0" baseline="0">
                <a:solidFill>
                  <a:schemeClr val="accent6"/>
                </a:solidFill>
                <a:latin typeface="+mn-lt"/>
                <a:ea typeface="+mn-ea"/>
                <a:cs typeface="+mn-cs"/>
              </a:defRPr>
            </a:pPr>
            <a:r>
              <a:rPr lang="en-IN" sz="2000" b="1">
                <a:solidFill>
                  <a:schemeClr val="accent6"/>
                </a:solidFill>
              </a:rPr>
              <a:t>Calls</a:t>
            </a: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Pivots!$E$46:$E$50</c:f>
              <c:strCache>
                <c:ptCount val="5"/>
                <c:pt idx="0">
                  <c:v>R01</c:v>
                </c:pt>
                <c:pt idx="1">
                  <c:v>R02</c:v>
                </c:pt>
                <c:pt idx="2">
                  <c:v>R03</c:v>
                </c:pt>
                <c:pt idx="3">
                  <c:v>R04</c:v>
                </c:pt>
                <c:pt idx="4">
                  <c:v>R05</c:v>
                </c:pt>
              </c:strCache>
            </c:strRef>
          </c:cat>
          <c:val>
            <c:numRef>
              <c:f>Pivots!$F$46:$F$50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FC8-4DB9-90EE-34F5727D9F69}"/>
            </c:ext>
          </c:extLst>
        </c:ser>
        <c:ser>
          <c:idx val="1"/>
          <c:order val="1"/>
          <c:tx>
            <c:strRef>
              <c:f>Pivots!$H$45</c:f>
              <c:strCache>
                <c:ptCount val="1"/>
                <c:pt idx="0">
                  <c:v>Sel. Calls</c:v>
                </c:pt>
              </c:strCache>
            </c:strRef>
          </c:tx>
          <c:spPr>
            <a:gradFill flip="none" rotWithShape="1">
              <a:gsLst>
                <a:gs pos="0">
                  <a:schemeClr val="accent5">
                    <a:alpha val="80000"/>
                  </a:schemeClr>
                </a:gs>
                <a:gs pos="100000">
                  <a:schemeClr val="accent6"/>
                </a:gs>
                <a:gs pos="100000">
                  <a:schemeClr val="accent1">
                    <a:lumMod val="45000"/>
                    <a:lumOff val="55000"/>
                  </a:schemeClr>
                </a:gs>
                <a:gs pos="100000">
                  <a:schemeClr val="accent1">
                    <a:lumMod val="30000"/>
                    <a:lumOff val="70000"/>
                  </a:schemeClr>
                </a:gs>
              </a:gsLst>
              <a:lin ang="16200000" scaled="1"/>
              <a:tileRect/>
            </a:gradFill>
            <a:ln>
              <a:noFill/>
            </a:ln>
            <a:effectLst/>
          </c:spPr>
          <c:invertIfNegative val="0"/>
          <c:val>
            <c:numRef>
              <c:f>Pivots!$H$46:$H$50</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EFC8-4DB9-90EE-34F5727D9F69}"/>
            </c:ext>
          </c:extLst>
        </c:ser>
        <c:dLbls>
          <c:showLegendKey val="0"/>
          <c:showVal val="0"/>
          <c:showCatName val="0"/>
          <c:showSerName val="0"/>
          <c:showPercent val="0"/>
          <c:showBubbleSize val="0"/>
        </c:dLbls>
        <c:gapWidth val="16"/>
        <c:overlap val="100"/>
        <c:axId val="181774223"/>
        <c:axId val="181774703"/>
      </c:barChart>
      <c:catAx>
        <c:axId val="18177422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74703"/>
        <c:crosses val="autoZero"/>
        <c:auto val="1"/>
        <c:lblAlgn val="ctr"/>
        <c:lblOffset val="100"/>
        <c:noMultiLvlLbl val="0"/>
      </c:catAx>
      <c:valAx>
        <c:axId val="181774703"/>
        <c:scaling>
          <c:orientation val="minMax"/>
          <c:min val="0"/>
        </c:scaling>
        <c:delete val="1"/>
        <c:axPos val="t"/>
        <c:numFmt formatCode="General" sourceLinked="1"/>
        <c:majorTickMark val="none"/>
        <c:minorTickMark val="none"/>
        <c:tickLblPos val="nextTo"/>
        <c:crossAx val="18177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2000" b="1" i="0" u="none" strike="noStrike" kern="1200" spc="0" baseline="0">
                <a:solidFill>
                  <a:schemeClr val="accent6"/>
                </a:solidFill>
                <a:latin typeface="+mn-lt"/>
                <a:ea typeface="+mn-ea"/>
                <a:cs typeface="+mn-cs"/>
              </a:defRPr>
            </a:pPr>
            <a:r>
              <a:rPr lang="en-IN" sz="2000" b="1">
                <a:solidFill>
                  <a:schemeClr val="accent6"/>
                </a:solidFill>
              </a:rPr>
              <a:t>Amount</a:t>
            </a: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Pivots!$E$46:$E$50</c:f>
              <c:strCache>
                <c:ptCount val="5"/>
                <c:pt idx="0">
                  <c:v>R01</c:v>
                </c:pt>
                <c:pt idx="1">
                  <c:v>R02</c:v>
                </c:pt>
                <c:pt idx="2">
                  <c:v>R03</c:v>
                </c:pt>
                <c:pt idx="3">
                  <c:v>R04</c:v>
                </c:pt>
                <c:pt idx="4">
                  <c:v>R05</c:v>
                </c:pt>
              </c:strCache>
            </c:strRef>
          </c:cat>
          <c:val>
            <c:numRef>
              <c:f>Pivots!$G$46:$G$50</c:f>
              <c:numCache>
                <c:formatCode>#,##0.0,"k"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D9A-491B-8F8D-2173BB91538B}"/>
            </c:ext>
          </c:extLst>
        </c:ser>
        <c:ser>
          <c:idx val="1"/>
          <c:order val="1"/>
          <c:tx>
            <c:strRef>
              <c:f>Pivots!$I$45</c:f>
              <c:strCache>
                <c:ptCount val="1"/>
                <c:pt idx="0">
                  <c:v>Sel. Amount</c:v>
                </c:pt>
              </c:strCache>
            </c:strRef>
          </c:tx>
          <c:spPr>
            <a:gradFill flip="none" rotWithShape="1">
              <a:gsLst>
                <a:gs pos="0">
                  <a:schemeClr val="accent5">
                    <a:alpha val="80000"/>
                  </a:schemeClr>
                </a:gs>
                <a:gs pos="100000">
                  <a:schemeClr val="accent6"/>
                </a:gs>
                <a:gs pos="100000">
                  <a:schemeClr val="accent1">
                    <a:lumMod val="45000"/>
                    <a:lumOff val="55000"/>
                  </a:schemeClr>
                </a:gs>
                <a:gs pos="100000">
                  <a:schemeClr val="accent1">
                    <a:lumMod val="30000"/>
                    <a:lumOff val="70000"/>
                  </a:schemeClr>
                </a:gs>
              </a:gsLst>
              <a:lin ang="16200000" scaled="1"/>
              <a:tileRect/>
            </a:gradFill>
            <a:ln>
              <a:noFill/>
            </a:ln>
            <a:effectLst/>
          </c:spPr>
          <c:invertIfNegative val="0"/>
          <c:val>
            <c:numRef>
              <c:f>Pivots!$I$46:$I$50</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6D9A-491B-8F8D-2173BB91538B}"/>
            </c:ext>
          </c:extLst>
        </c:ser>
        <c:dLbls>
          <c:showLegendKey val="0"/>
          <c:showVal val="0"/>
          <c:showCatName val="0"/>
          <c:showSerName val="0"/>
          <c:showPercent val="0"/>
          <c:showBubbleSize val="0"/>
        </c:dLbls>
        <c:gapWidth val="16"/>
        <c:overlap val="100"/>
        <c:axId val="181711823"/>
        <c:axId val="181716143"/>
      </c:barChart>
      <c:catAx>
        <c:axId val="181711823"/>
        <c:scaling>
          <c:orientation val="maxMin"/>
        </c:scaling>
        <c:delete val="1"/>
        <c:axPos val="l"/>
        <c:numFmt formatCode="General" sourceLinked="1"/>
        <c:majorTickMark val="out"/>
        <c:minorTickMark val="none"/>
        <c:tickLblPos val="nextTo"/>
        <c:crossAx val="181716143"/>
        <c:crosses val="autoZero"/>
        <c:auto val="1"/>
        <c:lblAlgn val="ctr"/>
        <c:lblOffset val="100"/>
        <c:noMultiLvlLbl val="0"/>
      </c:catAx>
      <c:valAx>
        <c:axId val="181716143"/>
        <c:scaling>
          <c:orientation val="minMax"/>
        </c:scaling>
        <c:delete val="1"/>
        <c:axPos val="t"/>
        <c:numFmt formatCode="#,##0.0,&quot;k&quot;" sourceLinked="1"/>
        <c:majorTickMark val="out"/>
        <c:minorTickMark val="none"/>
        <c:tickLblPos val="nextTo"/>
        <c:crossAx val="18171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[CallCentreReport2023.xlsx]Pivots!callers by gender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Female</a:t>
            </a:r>
            <a:r>
              <a:rPr lang="en-IN" sz="1600" b="1" baseline="0"/>
              <a:t> Vs</a:t>
            </a:r>
            <a:r>
              <a:rPr lang="en-IN" sz="1600" b="1" baseline="0">
                <a:solidFill>
                  <a:schemeClr val="accent4"/>
                </a:solidFill>
              </a:rPr>
              <a:t> Male </a:t>
            </a:r>
            <a:r>
              <a:rPr lang="en-IN" sz="1600" b="1" baseline="0"/>
              <a:t>Callers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stacked"/>
        <c:varyColors val="0"/>
        <c:ser>
          <c:idx val="0"/>
          <c:order val="0"/>
          <c:tx>
            <c:strRef>
              <c:f>Pivots!$B$59:$B$60</c:f>
              <c:strCache>
                <c:ptCount val="1"/>
                <c:pt idx="0">
                  <c:v>Female</c:v>
                </c:pt>
              </c:strCache>
            </c:strRef>
          </c:tx>
          <c:spPr>
            <a:solidFill>
              <a:schemeClr val="accent1"/>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Pivots!$A$61:$A$64</c:f>
              <c:strCache>
                <c:ptCount val="3"/>
                <c:pt idx="0">
                  <c:v>Cincinnati</c:v>
                </c:pt>
                <c:pt idx="1">
                  <c:v>Cleveland</c:v>
                </c:pt>
                <c:pt idx="2">
                  <c:v>Columbus</c:v>
                </c:pt>
              </c:strCache>
            </c:strRef>
          </c:cat>
          <c:val>
            <c:numRef>
              <c:f>Pivots!$B$61:$B$64</c:f>
              <c:numCache>
                <c:formatCode>#,##0</c:formatCode>
                <c:ptCount val="3"/>
                <c:pt idx="0">
                  <c:v>144</c:v>
                </c:pt>
                <c:pt idx="1">
                  <c:v>326</c:v>
                </c:pt>
                <c:pt idx="2">
                  <c:v>129</c:v>
                </c:pt>
              </c:numCache>
            </c:numRef>
          </c:val>
          <c:extLst>
            <c:ext xmlns:c16="http://schemas.microsoft.com/office/drawing/2014/chart" uri="{C3380CC4-5D6E-409C-BE32-E72D297353CC}">
              <c16:uniqueId val="{00000000-EC25-4903-B853-1EBBCC298EB1}"/>
            </c:ext>
          </c:extLst>
        </c:ser>
        <c:ser>
          <c:idx val="1"/>
          <c:order val="1"/>
          <c:tx>
            <c:strRef>
              <c:f>Pivots!$C$59:$C$60</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Pivots!$A$61:$A$64</c:f>
              <c:strCache>
                <c:ptCount val="3"/>
                <c:pt idx="0">
                  <c:v>Cincinnati</c:v>
                </c:pt>
                <c:pt idx="1">
                  <c:v>Cleveland</c:v>
                </c:pt>
                <c:pt idx="2">
                  <c:v>Columbus</c:v>
                </c:pt>
              </c:strCache>
            </c:strRef>
          </c:cat>
          <c:val>
            <c:numRef>
              <c:f>Pivots!$C$61:$C$64</c:f>
              <c:numCache>
                <c:formatCode>#,##0</c:formatCode>
                <c:ptCount val="3"/>
                <c:pt idx="0">
                  <c:v>132</c:v>
                </c:pt>
                <c:pt idx="1">
                  <c:v>63</c:v>
                </c:pt>
                <c:pt idx="2">
                  <c:v>206</c:v>
                </c:pt>
              </c:numCache>
            </c:numRef>
          </c:val>
          <c:extLst>
            <c:ext xmlns:c16="http://schemas.microsoft.com/office/drawing/2014/chart" uri="{C3380CC4-5D6E-409C-BE32-E72D297353CC}">
              <c16:uniqueId val="{00000001-EC25-4903-B853-1EBBCC298EB1}"/>
            </c:ext>
          </c:extLst>
        </c:ser>
        <c:dLbls>
          <c:showLegendKey val="0"/>
          <c:showVal val="0"/>
          <c:showCatName val="0"/>
          <c:showSerName val="0"/>
          <c:showPercent val="0"/>
          <c:showBubbleSize val="0"/>
        </c:dLbls>
        <c:gapWidth val="25"/>
        <c:overlap val="100"/>
        <c:axId val="1354672832"/>
        <c:axId val="1354673312"/>
      </c:barChart>
      <c:catAx>
        <c:axId val="1354672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673312"/>
        <c:crosses val="autoZero"/>
        <c:auto val="1"/>
        <c:lblAlgn val="ctr"/>
        <c:lblOffset val="100"/>
        <c:noMultiLvlLbl val="0"/>
      </c:catAx>
      <c:valAx>
        <c:axId val="1354673312"/>
        <c:scaling>
          <c:orientation val="minMax"/>
        </c:scaling>
        <c:delete val="1"/>
        <c:axPos val="l"/>
        <c:numFmt formatCode="#,##0" sourceLinked="1"/>
        <c:majorTickMark val="out"/>
        <c:minorTickMark val="none"/>
        <c:tickLblPos val="nextTo"/>
        <c:crossAx val="135467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[CallCentreReport2023.xlsx]Pivots!rep satisfaction</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5"/>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Pivots!$B$67</c:f>
              <c:strCache>
                <c:ptCount val="1"/>
                <c:pt idx="0">
                  <c:v>Total</c:v>
                </c:pt>
              </c:strCache>
            </c:strRef>
          </c:tx>
          <c:spPr>
            <a:solidFill>
              <a:schemeClr val="accent5"/>
            </a:solidFill>
            <a:ln>
              <a:noFill/>
            </a:ln>
            <a:effectLst/>
          </c:spPr>
          <c:invertIfNegative val="0"/>
          <c:cat>
            <c:strRef>
              <c:f>Pivots!$A$68:$A$74</c:f>
              <c:strCache>
                <c:ptCount val="6"/>
                <c:pt idx="0">
                  <c:v>0</c:v>
                </c:pt>
                <c:pt idx="1">
                  <c:v>1</c:v>
                </c:pt>
                <c:pt idx="2">
                  <c:v>2</c:v>
                </c:pt>
                <c:pt idx="3">
                  <c:v>3</c:v>
                </c:pt>
                <c:pt idx="4">
                  <c:v>4</c:v>
                </c:pt>
                <c:pt idx="5">
                  <c:v>5</c:v>
                </c:pt>
              </c:strCache>
            </c:strRef>
          </c:cat>
          <c:val>
            <c:numRef>
              <c:f>Pivots!$B$68:$B$74</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14EE-45D9-9435-4AF80B009E06}"/>
            </c:ext>
          </c:extLst>
        </c:ser>
        <c:dLbls>
          <c:showLegendKey val="0"/>
          <c:showVal val="0"/>
          <c:showCatName val="0"/>
          <c:showSerName val="0"/>
          <c:showPercent val="0"/>
          <c:showBubbleSize val="0"/>
        </c:dLbls>
        <c:gapWidth val="10"/>
        <c:overlap val="-27"/>
        <c:axId val="181756943"/>
        <c:axId val="181744943"/>
      </c:barChart>
      <c:catAx>
        <c:axId val="18175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44943"/>
        <c:crosses val="autoZero"/>
        <c:auto val="1"/>
        <c:lblAlgn val="ctr"/>
        <c:lblOffset val="100"/>
        <c:noMultiLvlLbl val="0"/>
      </c:catAx>
      <c:valAx>
        <c:axId val="181744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svg"/><Relationship Id="rId13" Type="http://schemas.openxmlformats.org/officeDocument/2006/relationships/chart" Target="../charts/chart3.xml"/><Relationship Id="rId3" Type="http://schemas.openxmlformats.org/officeDocument/2006/relationships/image" Target="../media/image16.png"/><Relationship Id="rId7" Type="http://schemas.openxmlformats.org/officeDocument/2006/relationships/image" Target="../media/image20.png"/><Relationship Id="rId12" Type="http://schemas.openxmlformats.org/officeDocument/2006/relationships/chart" Target="../charts/chart2.xml"/><Relationship Id="rId2" Type="http://schemas.openxmlformats.org/officeDocument/2006/relationships/image" Target="../media/image15.svg"/><Relationship Id="rId16" Type="http://schemas.openxmlformats.org/officeDocument/2006/relationships/chart" Target="../charts/chart6.xml"/><Relationship Id="rId1" Type="http://schemas.openxmlformats.org/officeDocument/2006/relationships/image" Target="../media/image14.png"/><Relationship Id="rId6" Type="http://schemas.openxmlformats.org/officeDocument/2006/relationships/image" Target="../media/image19.svg"/><Relationship Id="rId11" Type="http://schemas.openxmlformats.org/officeDocument/2006/relationships/chart" Target="../charts/chart1.xml"/><Relationship Id="rId5" Type="http://schemas.openxmlformats.org/officeDocument/2006/relationships/image" Target="../media/image18.png"/><Relationship Id="rId15" Type="http://schemas.openxmlformats.org/officeDocument/2006/relationships/chart" Target="../charts/chart5.xml"/><Relationship Id="rId10" Type="http://schemas.openxmlformats.org/officeDocument/2006/relationships/image" Target="../media/image23.svg"/><Relationship Id="rId4" Type="http://schemas.openxmlformats.org/officeDocument/2006/relationships/image" Target="../media/image17.svg"/><Relationship Id="rId9" Type="http://schemas.openxmlformats.org/officeDocument/2006/relationships/image" Target="../media/image22.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181074</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5</xdr:col>
      <xdr:colOff>131682</xdr:colOff>
      <xdr:row>2</xdr:row>
      <xdr:rowOff>7747</xdr:rowOff>
    </xdr:from>
    <xdr:to>
      <xdr:col>5</xdr:col>
      <xdr:colOff>441170</xdr:colOff>
      <xdr:row>2</xdr:row>
      <xdr:rowOff>321953</xdr:rowOff>
    </xdr:to>
    <xdr:pic>
      <xdr:nvPicPr>
        <xdr:cNvPr id="17" name="Picture 16" descr="Elderly woman smiling">
          <a:extLst>
            <a:ext uri="{FF2B5EF4-FFF2-40B4-BE49-F238E27FC236}">
              <a16:creationId xmlns:a16="http://schemas.microsoft.com/office/drawing/2014/main" id="{44C3ED8E-3E53-DBBD-65A6-A3C12D3AA6FC}"/>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5498" t="165" r="9061" b="36289"/>
        <a:stretch>
          <a:fillRect/>
        </a:stretch>
      </xdr:blipFill>
      <xdr:spPr>
        <a:xfrm>
          <a:off x="3497678" y="369895"/>
          <a:ext cx="309488" cy="3142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261937</xdr:colOff>
      <xdr:row>3</xdr:row>
      <xdr:rowOff>119063</xdr:rowOff>
    </xdr:from>
    <xdr:to>
      <xdr:col>2</xdr:col>
      <xdr:colOff>295275</xdr:colOff>
      <xdr:row>9</xdr:row>
      <xdr:rowOff>85725</xdr:rowOff>
    </xdr:to>
    <xdr:sp macro="" textlink="Pivots!A4">
      <xdr:nvSpPr>
        <xdr:cNvPr id="2" name="Rectangle 1">
          <a:extLst>
            <a:ext uri="{FF2B5EF4-FFF2-40B4-BE49-F238E27FC236}">
              <a16:creationId xmlns:a16="http://schemas.microsoft.com/office/drawing/2014/main" id="{68208145-318A-7658-5C80-5B219F35DB0B}"/>
            </a:ext>
          </a:extLst>
        </xdr:cNvPr>
        <xdr:cNvSpPr/>
      </xdr:nvSpPr>
      <xdr:spPr>
        <a:xfrm>
          <a:off x="261937" y="661988"/>
          <a:ext cx="1328738" cy="1052512"/>
        </a:xfrm>
        <a:prstGeom prst="rect">
          <a:avLst/>
        </a:prstGeom>
        <a:solidFill>
          <a:schemeClr val="accent6"/>
        </a:solidFill>
        <a:ln>
          <a:noFill/>
        </a:ln>
        <a:effectLst>
          <a:outerShdw blurRad="254000" dist="127000" dir="2700000" algn="tl" rotWithShape="0">
            <a:schemeClr val="tx1">
              <a:lumMod val="85000"/>
              <a:lumOff val="15000"/>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E5579D8-1348-4284-94EF-F35E6E9492EA}" type="TxLink">
            <a:rPr lang="en-US" sz="2400" b="1" i="0" u="none" strike="noStrike">
              <a:solidFill>
                <a:schemeClr val="bg1"/>
              </a:solidFill>
              <a:latin typeface="Trebuchet MS"/>
              <a:ea typeface="+mn-ea"/>
              <a:cs typeface="+mn-cs"/>
            </a:rPr>
            <a:pPr marL="0" indent="0" algn="ctr"/>
            <a:t>1,000</a:t>
          </a:fld>
          <a:endParaRPr lang="en-US" sz="2400" b="1" i="0" u="none" strike="noStrike">
            <a:solidFill>
              <a:schemeClr val="bg1"/>
            </a:solidFill>
            <a:latin typeface="Trebuchet MS"/>
            <a:ea typeface="+mn-ea"/>
            <a:cs typeface="+mn-cs"/>
          </a:endParaRPr>
        </a:p>
      </xdr:txBody>
    </xdr:sp>
    <xdr:clientData/>
  </xdr:twoCellAnchor>
  <xdr:twoCellAnchor>
    <xdr:from>
      <xdr:col>0</xdr:col>
      <xdr:colOff>552449</xdr:colOff>
      <xdr:row>4</xdr:row>
      <xdr:rowOff>47625</xdr:rowOff>
    </xdr:from>
    <xdr:to>
      <xdr:col>2</xdr:col>
      <xdr:colOff>71437</xdr:colOff>
      <xdr:row>5</xdr:row>
      <xdr:rowOff>85724</xdr:rowOff>
    </xdr:to>
    <xdr:sp macro="" textlink="">
      <xdr:nvSpPr>
        <xdr:cNvPr id="3" name="TextBox 2">
          <a:extLst>
            <a:ext uri="{FF2B5EF4-FFF2-40B4-BE49-F238E27FC236}">
              <a16:creationId xmlns:a16="http://schemas.microsoft.com/office/drawing/2014/main" id="{E0F35760-2098-756F-9A8A-FD2764434920}"/>
            </a:ext>
          </a:extLst>
        </xdr:cNvPr>
        <xdr:cNvSpPr txBox="1"/>
      </xdr:nvSpPr>
      <xdr:spPr>
        <a:xfrm>
          <a:off x="552449" y="771525"/>
          <a:ext cx="814388"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lumMod val="95000"/>
                </a:schemeClr>
              </a:solidFill>
            </a:rPr>
            <a:t>CALLS</a:t>
          </a:r>
          <a:endParaRPr lang="en-IN" sz="1400" b="1">
            <a:solidFill>
              <a:schemeClr val="bg1">
                <a:lumMod val="95000"/>
              </a:schemeClr>
            </a:solidFill>
          </a:endParaRPr>
        </a:p>
      </xdr:txBody>
    </xdr:sp>
    <xdr:clientData/>
  </xdr:twoCellAnchor>
  <xdr:twoCellAnchor editAs="oneCell">
    <xdr:from>
      <xdr:col>0</xdr:col>
      <xdr:colOff>342900</xdr:colOff>
      <xdr:row>4</xdr:row>
      <xdr:rowOff>831</xdr:rowOff>
    </xdr:from>
    <xdr:to>
      <xdr:col>0</xdr:col>
      <xdr:colOff>576073</xdr:colOff>
      <xdr:row>5</xdr:row>
      <xdr:rowOff>42863</xdr:rowOff>
    </xdr:to>
    <xdr:pic>
      <xdr:nvPicPr>
        <xdr:cNvPr id="5" name="Graphic 4" descr="Receiver with solid fill">
          <a:extLst>
            <a:ext uri="{FF2B5EF4-FFF2-40B4-BE49-F238E27FC236}">
              <a16:creationId xmlns:a16="http://schemas.microsoft.com/office/drawing/2014/main" id="{7613C225-4718-454D-A4D9-E2FDC53F03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2900" y="724731"/>
          <a:ext cx="233173" cy="223007"/>
        </a:xfrm>
        <a:prstGeom prst="rect">
          <a:avLst/>
        </a:prstGeom>
      </xdr:spPr>
    </xdr:pic>
    <xdr:clientData/>
  </xdr:twoCellAnchor>
  <xdr:twoCellAnchor>
    <xdr:from>
      <xdr:col>0</xdr:col>
      <xdr:colOff>547688</xdr:colOff>
      <xdr:row>7</xdr:row>
      <xdr:rowOff>133350</xdr:rowOff>
    </xdr:from>
    <xdr:to>
      <xdr:col>2</xdr:col>
      <xdr:colOff>71438</xdr:colOff>
      <xdr:row>8</xdr:row>
      <xdr:rowOff>157163</xdr:rowOff>
    </xdr:to>
    <xdr:sp macro="" textlink="Pivots!A10">
      <xdr:nvSpPr>
        <xdr:cNvPr id="6" name="TextBox 5">
          <a:extLst>
            <a:ext uri="{FF2B5EF4-FFF2-40B4-BE49-F238E27FC236}">
              <a16:creationId xmlns:a16="http://schemas.microsoft.com/office/drawing/2014/main" id="{3F5F0CF9-8D22-BCE1-62EF-3CA5043D95B0}"/>
            </a:ext>
          </a:extLst>
        </xdr:cNvPr>
        <xdr:cNvSpPr txBox="1"/>
      </xdr:nvSpPr>
      <xdr:spPr>
        <a:xfrm>
          <a:off x="547688" y="1400175"/>
          <a:ext cx="819150"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2DD703-5EE7-414F-8A3F-DEC68F323C3E}" type="TxLink">
            <a:rPr lang="en-US" sz="1100" b="0" i="0" u="none" strike="noStrike">
              <a:solidFill>
                <a:schemeClr val="bg1">
                  <a:lumMod val="95000"/>
                </a:schemeClr>
              </a:solidFill>
              <a:latin typeface="Trebuchet MS"/>
            </a:rPr>
            <a:pPr algn="ctr"/>
            <a:t>207</a:t>
          </a:fld>
          <a:endParaRPr lang="en-IN" sz="1100">
            <a:solidFill>
              <a:schemeClr val="bg1">
                <a:lumMod val="95000"/>
              </a:schemeClr>
            </a:solidFill>
          </a:endParaRPr>
        </a:p>
      </xdr:txBody>
    </xdr:sp>
    <xdr:clientData/>
  </xdr:twoCellAnchor>
  <xdr:twoCellAnchor>
    <xdr:from>
      <xdr:col>0</xdr:col>
      <xdr:colOff>271462</xdr:colOff>
      <xdr:row>11</xdr:row>
      <xdr:rowOff>38100</xdr:rowOff>
    </xdr:from>
    <xdr:to>
      <xdr:col>2</xdr:col>
      <xdr:colOff>304800</xdr:colOff>
      <xdr:row>17</xdr:row>
      <xdr:rowOff>4762</xdr:rowOff>
    </xdr:to>
    <xdr:sp macro="" textlink="Pivots!B4">
      <xdr:nvSpPr>
        <xdr:cNvPr id="7" name="Rectangle 6">
          <a:extLst>
            <a:ext uri="{FF2B5EF4-FFF2-40B4-BE49-F238E27FC236}">
              <a16:creationId xmlns:a16="http://schemas.microsoft.com/office/drawing/2014/main" id="{D2C02215-1B36-4EB2-B06E-D5EA0C9D515D}"/>
            </a:ext>
          </a:extLst>
        </xdr:cNvPr>
        <xdr:cNvSpPr/>
      </xdr:nvSpPr>
      <xdr:spPr>
        <a:xfrm>
          <a:off x="271462" y="2031103"/>
          <a:ext cx="1327496" cy="1053754"/>
        </a:xfrm>
        <a:prstGeom prst="rect">
          <a:avLst/>
        </a:prstGeom>
        <a:solidFill>
          <a:schemeClr val="accent6"/>
        </a:solidFill>
        <a:ln>
          <a:noFill/>
        </a:ln>
        <a:effectLst>
          <a:outerShdw blurRad="254000" dist="127000" dir="2700000" algn="tl" rotWithShape="0">
            <a:schemeClr val="tx1">
              <a:lumMod val="85000"/>
              <a:lumOff val="15000"/>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C6F1DD2-4DD8-47CB-B4BF-0AE68AD6231A}" type="TxLink">
            <a:rPr lang="en-US" sz="2000" b="1" i="0" u="none" strike="noStrike">
              <a:solidFill>
                <a:schemeClr val="bg1"/>
              </a:solidFill>
              <a:latin typeface="Trebuchet MS"/>
              <a:ea typeface="+mn-ea"/>
              <a:cs typeface="+mn-cs"/>
            </a:rPr>
            <a:pPr marL="0" indent="0" algn="ctr"/>
            <a:t>$96,623</a:t>
          </a:fld>
          <a:endParaRPr lang="en-US" sz="2000" b="1" i="0" u="none" strike="noStrike">
            <a:solidFill>
              <a:schemeClr val="bg1"/>
            </a:solidFill>
            <a:latin typeface="Trebuchet MS"/>
            <a:ea typeface="+mn-ea"/>
            <a:cs typeface="+mn-cs"/>
          </a:endParaRPr>
        </a:p>
      </xdr:txBody>
    </xdr:sp>
    <xdr:clientData/>
  </xdr:twoCellAnchor>
  <xdr:twoCellAnchor>
    <xdr:from>
      <xdr:col>0</xdr:col>
      <xdr:colOff>549959</xdr:colOff>
      <xdr:row>11</xdr:row>
      <xdr:rowOff>134695</xdr:rowOff>
    </xdr:from>
    <xdr:to>
      <xdr:col>2</xdr:col>
      <xdr:colOff>68947</xdr:colOff>
      <xdr:row>12</xdr:row>
      <xdr:rowOff>173001</xdr:rowOff>
    </xdr:to>
    <xdr:sp macro="" textlink="">
      <xdr:nvSpPr>
        <xdr:cNvPr id="8" name="TextBox 7">
          <a:extLst>
            <a:ext uri="{FF2B5EF4-FFF2-40B4-BE49-F238E27FC236}">
              <a16:creationId xmlns:a16="http://schemas.microsoft.com/office/drawing/2014/main" id="{4836CAA5-6387-46D2-B610-0C51F5677F0B}"/>
            </a:ext>
          </a:extLst>
        </xdr:cNvPr>
        <xdr:cNvSpPr txBox="1"/>
      </xdr:nvSpPr>
      <xdr:spPr>
        <a:xfrm>
          <a:off x="549959" y="2127698"/>
          <a:ext cx="813146" cy="219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lumMod val="95000"/>
                </a:schemeClr>
              </a:solidFill>
            </a:rPr>
            <a:t>AMOUNT</a:t>
          </a:r>
        </a:p>
      </xdr:txBody>
    </xdr:sp>
    <xdr:clientData/>
  </xdr:twoCellAnchor>
  <xdr:twoCellAnchor editAs="oneCell">
    <xdr:from>
      <xdr:col>0</xdr:col>
      <xdr:colOff>326449</xdr:colOff>
      <xdr:row>11</xdr:row>
      <xdr:rowOff>106020</xdr:rowOff>
    </xdr:from>
    <xdr:to>
      <xdr:col>0</xdr:col>
      <xdr:colOff>549456</xdr:colOff>
      <xdr:row>12</xdr:row>
      <xdr:rowOff>148052</xdr:rowOff>
    </xdr:to>
    <xdr:pic>
      <xdr:nvPicPr>
        <xdr:cNvPr id="9" name="Graphic 8">
          <a:extLst>
            <a:ext uri="{FF2B5EF4-FFF2-40B4-BE49-F238E27FC236}">
              <a16:creationId xmlns:a16="http://schemas.microsoft.com/office/drawing/2014/main" id="{2056B58D-883F-401B-97A1-7FEFFD3634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26449" y="2099023"/>
          <a:ext cx="223007" cy="223214"/>
        </a:xfrm>
        <a:prstGeom prst="rect">
          <a:avLst/>
        </a:prstGeom>
      </xdr:spPr>
    </xdr:pic>
    <xdr:clientData/>
  </xdr:twoCellAnchor>
  <xdr:twoCellAnchor>
    <xdr:from>
      <xdr:col>0</xdr:col>
      <xdr:colOff>557213</xdr:colOff>
      <xdr:row>15</xdr:row>
      <xdr:rowOff>52387</xdr:rowOff>
    </xdr:from>
    <xdr:to>
      <xdr:col>2</xdr:col>
      <xdr:colOff>80963</xdr:colOff>
      <xdr:row>16</xdr:row>
      <xdr:rowOff>76200</xdr:rowOff>
    </xdr:to>
    <xdr:sp macro="" textlink="Pivots!B10">
      <xdr:nvSpPr>
        <xdr:cNvPr id="10" name="TextBox 9">
          <a:extLst>
            <a:ext uri="{FF2B5EF4-FFF2-40B4-BE49-F238E27FC236}">
              <a16:creationId xmlns:a16="http://schemas.microsoft.com/office/drawing/2014/main" id="{862EC724-2AEB-4D51-8F13-CEB59862DB77}"/>
            </a:ext>
          </a:extLst>
        </xdr:cNvPr>
        <xdr:cNvSpPr txBox="1"/>
      </xdr:nvSpPr>
      <xdr:spPr>
        <a:xfrm>
          <a:off x="557213" y="2767012"/>
          <a:ext cx="819150"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9E0A77-8BEE-4383-9979-D45636E4D66B}" type="TxLink">
            <a:rPr lang="en-US" sz="1100" b="0" i="0" u="none" strike="noStrike">
              <a:solidFill>
                <a:schemeClr val="bg1">
                  <a:lumMod val="95000"/>
                </a:schemeClr>
              </a:solidFill>
              <a:latin typeface="Aptos"/>
            </a:rPr>
            <a:pPr algn="ctr"/>
            <a:t>$20,872</a:t>
          </a:fld>
          <a:endParaRPr lang="en-IN" sz="1100">
            <a:solidFill>
              <a:schemeClr val="bg1">
                <a:lumMod val="95000"/>
              </a:schemeClr>
            </a:solidFill>
          </a:endParaRPr>
        </a:p>
      </xdr:txBody>
    </xdr:sp>
    <xdr:clientData/>
  </xdr:twoCellAnchor>
  <xdr:twoCellAnchor>
    <xdr:from>
      <xdr:col>0</xdr:col>
      <xdr:colOff>238125</xdr:colOff>
      <xdr:row>19</xdr:row>
      <xdr:rowOff>38100</xdr:rowOff>
    </xdr:from>
    <xdr:to>
      <xdr:col>2</xdr:col>
      <xdr:colOff>271463</xdr:colOff>
      <xdr:row>25</xdr:row>
      <xdr:rowOff>4762</xdr:rowOff>
    </xdr:to>
    <xdr:sp macro="" textlink="Pivots!C4">
      <xdr:nvSpPr>
        <xdr:cNvPr id="11" name="Rectangle 10">
          <a:extLst>
            <a:ext uri="{FF2B5EF4-FFF2-40B4-BE49-F238E27FC236}">
              <a16:creationId xmlns:a16="http://schemas.microsoft.com/office/drawing/2014/main" id="{B80B8651-82F2-4A82-A282-46168B1D9546}"/>
            </a:ext>
          </a:extLst>
        </xdr:cNvPr>
        <xdr:cNvSpPr/>
      </xdr:nvSpPr>
      <xdr:spPr>
        <a:xfrm>
          <a:off x="238125" y="3476625"/>
          <a:ext cx="1328738" cy="1052512"/>
        </a:xfrm>
        <a:prstGeom prst="rect">
          <a:avLst/>
        </a:prstGeom>
        <a:solidFill>
          <a:schemeClr val="accent6"/>
        </a:solidFill>
        <a:ln>
          <a:noFill/>
        </a:ln>
        <a:effectLst>
          <a:outerShdw blurRad="254000" dist="127000" dir="2700000" algn="tl" rotWithShape="0">
            <a:schemeClr val="tx1">
              <a:lumMod val="85000"/>
              <a:lumOff val="15000"/>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0974FD-86AC-4866-A2C7-83CEE6675824}" type="TxLink">
            <a:rPr lang="en-US" sz="2000" b="1" i="0" u="none" strike="noStrike">
              <a:solidFill>
                <a:schemeClr val="bg1"/>
              </a:solidFill>
              <a:latin typeface="Trebuchet MS"/>
              <a:ea typeface="+mn-ea"/>
              <a:cs typeface="+mn-cs"/>
            </a:rPr>
            <a:pPr marL="0" indent="0" algn="ctr"/>
            <a:t>89,850</a:t>
          </a:fld>
          <a:endParaRPr lang="en-US" sz="2000" b="1" i="0" u="none" strike="noStrike">
            <a:solidFill>
              <a:schemeClr val="bg1"/>
            </a:solidFill>
            <a:latin typeface="Trebuchet MS"/>
            <a:ea typeface="+mn-ea"/>
            <a:cs typeface="+mn-cs"/>
          </a:endParaRPr>
        </a:p>
      </xdr:txBody>
    </xdr:sp>
    <xdr:clientData/>
  </xdr:twoCellAnchor>
  <xdr:twoCellAnchor>
    <xdr:from>
      <xdr:col>0</xdr:col>
      <xdr:colOff>514350</xdr:colOff>
      <xdr:row>19</xdr:row>
      <xdr:rowOff>100013</xdr:rowOff>
    </xdr:from>
    <xdr:to>
      <xdr:col>2</xdr:col>
      <xdr:colOff>161925</xdr:colOff>
      <xdr:row>21</xdr:row>
      <xdr:rowOff>28575</xdr:rowOff>
    </xdr:to>
    <xdr:sp macro="" textlink="">
      <xdr:nvSpPr>
        <xdr:cNvPr id="12" name="TextBox 11">
          <a:extLst>
            <a:ext uri="{FF2B5EF4-FFF2-40B4-BE49-F238E27FC236}">
              <a16:creationId xmlns:a16="http://schemas.microsoft.com/office/drawing/2014/main" id="{1D9CAB1F-6E77-4EC7-B88E-AC5BA08AC071}"/>
            </a:ext>
          </a:extLst>
        </xdr:cNvPr>
        <xdr:cNvSpPr txBox="1"/>
      </xdr:nvSpPr>
      <xdr:spPr>
        <a:xfrm>
          <a:off x="514350" y="3542472"/>
          <a:ext cx="941733" cy="290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lumMod val="95000"/>
                </a:schemeClr>
              </a:solidFill>
            </a:rPr>
            <a:t>DURATION</a:t>
          </a:r>
          <a:endParaRPr lang="en-IN" sz="1400" b="1">
            <a:solidFill>
              <a:schemeClr val="bg1">
                <a:lumMod val="95000"/>
              </a:schemeClr>
            </a:solidFill>
          </a:endParaRPr>
        </a:p>
      </xdr:txBody>
    </xdr:sp>
    <xdr:clientData/>
  </xdr:twoCellAnchor>
  <xdr:twoCellAnchor editAs="oneCell">
    <xdr:from>
      <xdr:col>0</xdr:col>
      <xdr:colOff>300876</xdr:colOff>
      <xdr:row>19</xdr:row>
      <xdr:rowOff>121550</xdr:rowOff>
    </xdr:from>
    <xdr:to>
      <xdr:col>0</xdr:col>
      <xdr:colOff>523883</xdr:colOff>
      <xdr:row>20</xdr:row>
      <xdr:rowOff>163582</xdr:rowOff>
    </xdr:to>
    <xdr:pic>
      <xdr:nvPicPr>
        <xdr:cNvPr id="13" name="Graphic 12">
          <a:extLst>
            <a:ext uri="{FF2B5EF4-FFF2-40B4-BE49-F238E27FC236}">
              <a16:creationId xmlns:a16="http://schemas.microsoft.com/office/drawing/2014/main" id="{CD428D42-553B-46B8-8CD6-F3F4A4DB2F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00876" y="3564009"/>
          <a:ext cx="223007" cy="223214"/>
        </a:xfrm>
        <a:prstGeom prst="rect">
          <a:avLst/>
        </a:prstGeom>
      </xdr:spPr>
    </xdr:pic>
    <xdr:clientData/>
  </xdr:twoCellAnchor>
  <xdr:twoCellAnchor>
    <xdr:from>
      <xdr:col>0</xdr:col>
      <xdr:colOff>523876</xdr:colOff>
      <xdr:row>23</xdr:row>
      <xdr:rowOff>52387</xdr:rowOff>
    </xdr:from>
    <xdr:to>
      <xdr:col>2</xdr:col>
      <xdr:colOff>47626</xdr:colOff>
      <xdr:row>24</xdr:row>
      <xdr:rowOff>76200</xdr:rowOff>
    </xdr:to>
    <xdr:sp macro="" textlink="Pivots!C10">
      <xdr:nvSpPr>
        <xdr:cNvPr id="14" name="TextBox 13">
          <a:extLst>
            <a:ext uri="{FF2B5EF4-FFF2-40B4-BE49-F238E27FC236}">
              <a16:creationId xmlns:a16="http://schemas.microsoft.com/office/drawing/2014/main" id="{41B93B47-2951-4A56-A632-BE60B13DEB31}"/>
            </a:ext>
          </a:extLst>
        </xdr:cNvPr>
        <xdr:cNvSpPr txBox="1"/>
      </xdr:nvSpPr>
      <xdr:spPr>
        <a:xfrm>
          <a:off x="523876" y="4214812"/>
          <a:ext cx="819150"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E318C9-2607-4F83-B7C8-25F5836D5D24}" type="TxLink">
            <a:rPr lang="en-US" sz="1100" b="0" i="0" u="none" strike="noStrike">
              <a:solidFill>
                <a:schemeClr val="bg1">
                  <a:lumMod val="95000"/>
                </a:schemeClr>
              </a:solidFill>
              <a:latin typeface="Aptos"/>
            </a:rPr>
            <a:pPr algn="ctr"/>
            <a:t>17,700</a:t>
          </a:fld>
          <a:endParaRPr lang="en-IN" sz="1100">
            <a:solidFill>
              <a:schemeClr val="bg1">
                <a:lumMod val="95000"/>
              </a:schemeClr>
            </a:solidFill>
          </a:endParaRPr>
        </a:p>
      </xdr:txBody>
    </xdr:sp>
    <xdr:clientData/>
  </xdr:twoCellAnchor>
  <xdr:twoCellAnchor>
    <xdr:from>
      <xdr:col>0</xdr:col>
      <xdr:colOff>238125</xdr:colOff>
      <xdr:row>27</xdr:row>
      <xdr:rowOff>90487</xdr:rowOff>
    </xdr:from>
    <xdr:to>
      <xdr:col>2</xdr:col>
      <xdr:colOff>271463</xdr:colOff>
      <xdr:row>33</xdr:row>
      <xdr:rowOff>57149</xdr:rowOff>
    </xdr:to>
    <xdr:sp macro="" textlink="Pivots!D4">
      <xdr:nvSpPr>
        <xdr:cNvPr id="15" name="Rectangle 14">
          <a:extLst>
            <a:ext uri="{FF2B5EF4-FFF2-40B4-BE49-F238E27FC236}">
              <a16:creationId xmlns:a16="http://schemas.microsoft.com/office/drawing/2014/main" id="{7BF85E88-F566-4F32-B3D9-4871140E52E1}"/>
            </a:ext>
          </a:extLst>
        </xdr:cNvPr>
        <xdr:cNvSpPr/>
      </xdr:nvSpPr>
      <xdr:spPr>
        <a:xfrm>
          <a:off x="238125" y="5007068"/>
          <a:ext cx="1331353" cy="1059236"/>
        </a:xfrm>
        <a:prstGeom prst="rect">
          <a:avLst/>
        </a:prstGeom>
        <a:solidFill>
          <a:schemeClr val="accent6"/>
        </a:solidFill>
        <a:ln>
          <a:noFill/>
        </a:ln>
        <a:effectLst>
          <a:outerShdw blurRad="254000" dist="127000" dir="2700000" algn="tl" rotWithShape="0">
            <a:schemeClr val="tx1">
              <a:lumMod val="85000"/>
              <a:lumOff val="15000"/>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FF1E69-A187-4ED8-BA17-B6E0524D659F}" type="TxLink">
            <a:rPr lang="en-US" sz="2000" b="1" i="0" u="none" strike="noStrike">
              <a:solidFill>
                <a:schemeClr val="bg1"/>
              </a:solidFill>
              <a:latin typeface="Trebuchet MS"/>
              <a:ea typeface="+mn-ea"/>
              <a:cs typeface="+mn-cs"/>
            </a:rPr>
            <a:pPr marL="0" indent="0" algn="ctr"/>
            <a:t>3.9</a:t>
          </a:fld>
          <a:endParaRPr lang="en-US" sz="2000" b="1" i="0" u="none" strike="noStrike">
            <a:solidFill>
              <a:schemeClr val="bg1"/>
            </a:solidFill>
            <a:latin typeface="Trebuchet MS"/>
            <a:ea typeface="+mn-ea"/>
            <a:cs typeface="+mn-cs"/>
          </a:endParaRPr>
        </a:p>
      </xdr:txBody>
    </xdr:sp>
    <xdr:clientData/>
  </xdr:twoCellAnchor>
  <xdr:twoCellAnchor>
    <xdr:from>
      <xdr:col>0</xdr:col>
      <xdr:colOff>452905</xdr:colOff>
      <xdr:row>27</xdr:row>
      <xdr:rowOff>141553</xdr:rowOff>
    </xdr:from>
    <xdr:to>
      <xdr:col>2</xdr:col>
      <xdr:colOff>203600</xdr:colOff>
      <xdr:row>29</xdr:row>
      <xdr:rowOff>26449</xdr:rowOff>
    </xdr:to>
    <xdr:sp macro="" textlink="">
      <xdr:nvSpPr>
        <xdr:cNvPr id="16" name="TextBox 15">
          <a:extLst>
            <a:ext uri="{FF2B5EF4-FFF2-40B4-BE49-F238E27FC236}">
              <a16:creationId xmlns:a16="http://schemas.microsoft.com/office/drawing/2014/main" id="{59CC9924-D6A4-404C-B72A-511BEB38EB72}"/>
            </a:ext>
          </a:extLst>
        </xdr:cNvPr>
        <xdr:cNvSpPr txBox="1"/>
      </xdr:nvSpPr>
      <xdr:spPr>
        <a:xfrm>
          <a:off x="452905" y="5058134"/>
          <a:ext cx="1048710" cy="249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lumMod val="95000"/>
                </a:schemeClr>
              </a:solidFill>
            </a:rPr>
            <a:t>AVG</a:t>
          </a:r>
          <a:r>
            <a:rPr lang="en-IN" sz="1100" b="1" baseline="0">
              <a:solidFill>
                <a:schemeClr val="bg1">
                  <a:lumMod val="95000"/>
                </a:schemeClr>
              </a:solidFill>
            </a:rPr>
            <a:t> RATING</a:t>
          </a:r>
          <a:endParaRPr lang="en-IN" sz="1200" b="1">
            <a:solidFill>
              <a:schemeClr val="bg1">
                <a:lumMod val="95000"/>
              </a:schemeClr>
            </a:solidFill>
          </a:endParaRPr>
        </a:p>
      </xdr:txBody>
    </xdr:sp>
    <xdr:clientData/>
  </xdr:twoCellAnchor>
  <xdr:twoCellAnchor editAs="oneCell">
    <xdr:from>
      <xdr:col>0</xdr:col>
      <xdr:colOff>324172</xdr:colOff>
      <xdr:row>27</xdr:row>
      <xdr:rowOff>153231</xdr:rowOff>
    </xdr:from>
    <xdr:to>
      <xdr:col>0</xdr:col>
      <xdr:colOff>532280</xdr:colOff>
      <xdr:row>29</xdr:row>
      <xdr:rowOff>2742</xdr:rowOff>
    </xdr:to>
    <xdr:pic>
      <xdr:nvPicPr>
        <xdr:cNvPr id="17" name="Graphic 16">
          <a:extLst>
            <a:ext uri="{FF2B5EF4-FFF2-40B4-BE49-F238E27FC236}">
              <a16:creationId xmlns:a16="http://schemas.microsoft.com/office/drawing/2014/main" id="{45CE94CF-2C5B-4A05-AB80-A98B02F1B5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24172" y="5069812"/>
          <a:ext cx="208108" cy="210200"/>
        </a:xfrm>
        <a:prstGeom prst="rect">
          <a:avLst/>
        </a:prstGeom>
      </xdr:spPr>
    </xdr:pic>
    <xdr:clientData/>
  </xdr:twoCellAnchor>
  <xdr:twoCellAnchor>
    <xdr:from>
      <xdr:col>0</xdr:col>
      <xdr:colOff>523876</xdr:colOff>
      <xdr:row>31</xdr:row>
      <xdr:rowOff>104774</xdr:rowOff>
    </xdr:from>
    <xdr:to>
      <xdr:col>2</xdr:col>
      <xdr:colOff>47626</xdr:colOff>
      <xdr:row>32</xdr:row>
      <xdr:rowOff>128587</xdr:rowOff>
    </xdr:to>
    <xdr:sp macro="" textlink="Pivots!D10">
      <xdr:nvSpPr>
        <xdr:cNvPr id="18" name="TextBox 17">
          <a:extLst>
            <a:ext uri="{FF2B5EF4-FFF2-40B4-BE49-F238E27FC236}">
              <a16:creationId xmlns:a16="http://schemas.microsoft.com/office/drawing/2014/main" id="{2E990EF2-7C0C-4B75-B6E7-19CCA8A4C3D1}"/>
            </a:ext>
          </a:extLst>
        </xdr:cNvPr>
        <xdr:cNvSpPr txBox="1"/>
      </xdr:nvSpPr>
      <xdr:spPr>
        <a:xfrm>
          <a:off x="523876" y="5714999"/>
          <a:ext cx="819150"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A6D711-BE02-4412-8564-3E2AC56B9DB1}" type="TxLink">
            <a:rPr lang="en-US" sz="1100" b="0" i="0" u="none" strike="noStrike">
              <a:solidFill>
                <a:schemeClr val="bg1">
                  <a:lumMod val="95000"/>
                </a:schemeClr>
              </a:solidFill>
              <a:latin typeface="Aptos"/>
            </a:rPr>
            <a:pPr algn="ctr"/>
            <a:t>3.9</a:t>
          </a:fld>
          <a:endParaRPr lang="en-IN" sz="1100">
            <a:solidFill>
              <a:schemeClr val="bg1">
                <a:lumMod val="95000"/>
              </a:schemeClr>
            </a:solidFill>
          </a:endParaRPr>
        </a:p>
      </xdr:txBody>
    </xdr:sp>
    <xdr:clientData/>
  </xdr:twoCellAnchor>
  <xdr:twoCellAnchor>
    <xdr:from>
      <xdr:col>0</xdr:col>
      <xdr:colOff>223837</xdr:colOff>
      <xdr:row>36</xdr:row>
      <xdr:rowOff>9525</xdr:rowOff>
    </xdr:from>
    <xdr:to>
      <xdr:col>2</xdr:col>
      <xdr:colOff>257175</xdr:colOff>
      <xdr:row>41</xdr:row>
      <xdr:rowOff>157162</xdr:rowOff>
    </xdr:to>
    <xdr:sp macro="" textlink="Pivots!E4">
      <xdr:nvSpPr>
        <xdr:cNvPr id="19" name="Rectangle 18">
          <a:extLst>
            <a:ext uri="{FF2B5EF4-FFF2-40B4-BE49-F238E27FC236}">
              <a16:creationId xmlns:a16="http://schemas.microsoft.com/office/drawing/2014/main" id="{A5DD86E2-15D8-4A8F-9C63-11AFC6F4C60E}"/>
            </a:ext>
          </a:extLst>
        </xdr:cNvPr>
        <xdr:cNvSpPr/>
      </xdr:nvSpPr>
      <xdr:spPr>
        <a:xfrm>
          <a:off x="223837" y="6564966"/>
          <a:ext cx="1331353" cy="1058116"/>
        </a:xfrm>
        <a:prstGeom prst="rect">
          <a:avLst/>
        </a:prstGeom>
        <a:solidFill>
          <a:schemeClr val="accent6"/>
        </a:solidFill>
        <a:ln>
          <a:noFill/>
        </a:ln>
        <a:effectLst>
          <a:outerShdw blurRad="254000" dist="127000" dir="2700000" algn="tl" rotWithShape="0">
            <a:schemeClr val="tx1">
              <a:lumMod val="85000"/>
              <a:lumOff val="15000"/>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868C6F7-0C5A-453D-BE12-E21444ED1E91}" type="TxLink">
            <a:rPr lang="en-US" sz="2000" b="1" i="0" u="none" strike="noStrike">
              <a:solidFill>
                <a:schemeClr val="bg1"/>
              </a:solidFill>
              <a:latin typeface="Trebuchet MS"/>
              <a:ea typeface="+mn-ea"/>
              <a:cs typeface="+mn-cs"/>
            </a:rPr>
            <a:pPr marL="0" indent="0" algn="ctr"/>
            <a:t>307</a:t>
          </a:fld>
          <a:endParaRPr lang="en-US" sz="2000" b="1" i="0" u="none" strike="noStrike">
            <a:solidFill>
              <a:schemeClr val="bg1"/>
            </a:solidFill>
            <a:latin typeface="Trebuchet MS"/>
            <a:ea typeface="+mn-ea"/>
            <a:cs typeface="+mn-cs"/>
          </a:endParaRPr>
        </a:p>
      </xdr:txBody>
    </xdr:sp>
    <xdr:clientData/>
  </xdr:twoCellAnchor>
  <xdr:twoCellAnchor editAs="oneCell">
    <xdr:from>
      <xdr:col>13</xdr:col>
      <xdr:colOff>604563</xdr:colOff>
      <xdr:row>23</xdr:row>
      <xdr:rowOff>138114</xdr:rowOff>
    </xdr:from>
    <xdr:to>
      <xdr:col>15</xdr:col>
      <xdr:colOff>109538</xdr:colOff>
      <xdr:row>32</xdr:row>
      <xdr:rowOff>61059</xdr:rowOff>
    </xdr:to>
    <mc:AlternateContent xmlns:mc="http://schemas.openxmlformats.org/markup-compatibility/2006" xmlns:a14="http://schemas.microsoft.com/office/drawing/2010/main">
      <mc:Choice Requires="a14">
        <xdr:graphicFrame macro="">
          <xdr:nvGraphicFramePr>
            <xdr:cNvPr id="24" name="Representative">
              <a:extLst>
                <a:ext uri="{FF2B5EF4-FFF2-40B4-BE49-F238E27FC236}">
                  <a16:creationId xmlns:a16="http://schemas.microsoft.com/office/drawing/2014/main" id="{DA4EA350-875E-4229-911E-3A0ED8F26F2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9031542" y="4245770"/>
              <a:ext cx="801434" cy="1826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378199</xdr:colOff>
      <xdr:row>36</xdr:row>
      <xdr:rowOff>46692</xdr:rowOff>
    </xdr:from>
    <xdr:to>
      <xdr:col>2</xdr:col>
      <xdr:colOff>233456</xdr:colOff>
      <xdr:row>37</xdr:row>
      <xdr:rowOff>143634</xdr:rowOff>
    </xdr:to>
    <xdr:sp macro="" textlink="">
      <xdr:nvSpPr>
        <xdr:cNvPr id="20" name="TextBox 19">
          <a:extLst>
            <a:ext uri="{FF2B5EF4-FFF2-40B4-BE49-F238E27FC236}">
              <a16:creationId xmlns:a16="http://schemas.microsoft.com/office/drawing/2014/main" id="{2853B1A1-D833-4E81-AAB6-F6251A93D5E5}"/>
            </a:ext>
          </a:extLst>
        </xdr:cNvPr>
        <xdr:cNvSpPr txBox="1"/>
      </xdr:nvSpPr>
      <xdr:spPr>
        <a:xfrm>
          <a:off x="378199" y="6602133"/>
          <a:ext cx="1153272" cy="279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lumMod val="95000"/>
                </a:schemeClr>
              </a:solidFill>
            </a:rPr>
            <a:t>HAPPY</a:t>
          </a:r>
          <a:r>
            <a:rPr lang="en-IN" sz="1000" b="1" baseline="0">
              <a:solidFill>
                <a:schemeClr val="bg1">
                  <a:lumMod val="95000"/>
                </a:schemeClr>
              </a:solidFill>
            </a:rPr>
            <a:t> CALLERS</a:t>
          </a:r>
          <a:endParaRPr lang="en-IN" sz="1000" b="1">
            <a:solidFill>
              <a:schemeClr val="bg1">
                <a:lumMod val="95000"/>
              </a:schemeClr>
            </a:solidFill>
          </a:endParaRPr>
        </a:p>
      </xdr:txBody>
    </xdr:sp>
    <xdr:clientData/>
  </xdr:twoCellAnchor>
  <xdr:twoCellAnchor editAs="oneCell">
    <xdr:from>
      <xdr:col>0</xdr:col>
      <xdr:colOff>263192</xdr:colOff>
      <xdr:row>36</xdr:row>
      <xdr:rowOff>76938</xdr:rowOff>
    </xdr:from>
    <xdr:to>
      <xdr:col>0</xdr:col>
      <xdr:colOff>432865</xdr:colOff>
      <xdr:row>37</xdr:row>
      <xdr:rowOff>65368</xdr:rowOff>
    </xdr:to>
    <xdr:pic>
      <xdr:nvPicPr>
        <xdr:cNvPr id="21" name="Graphic 20">
          <a:extLst>
            <a:ext uri="{FF2B5EF4-FFF2-40B4-BE49-F238E27FC236}">
              <a16:creationId xmlns:a16="http://schemas.microsoft.com/office/drawing/2014/main" id="{4C76CF69-F8BF-4CA6-80B0-9DC5DF35C3E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63192" y="6632379"/>
          <a:ext cx="169673" cy="170526"/>
        </a:xfrm>
        <a:prstGeom prst="rect">
          <a:avLst/>
        </a:prstGeom>
      </xdr:spPr>
    </xdr:pic>
    <xdr:clientData/>
  </xdr:twoCellAnchor>
  <xdr:twoCellAnchor>
    <xdr:from>
      <xdr:col>0</xdr:col>
      <xdr:colOff>509588</xdr:colOff>
      <xdr:row>40</xdr:row>
      <xdr:rowOff>23812</xdr:rowOff>
    </xdr:from>
    <xdr:to>
      <xdr:col>2</xdr:col>
      <xdr:colOff>33338</xdr:colOff>
      <xdr:row>41</xdr:row>
      <xdr:rowOff>47625</xdr:rowOff>
    </xdr:to>
    <xdr:sp macro="" textlink="Pivots!E10">
      <xdr:nvSpPr>
        <xdr:cNvPr id="22" name="TextBox 21">
          <a:extLst>
            <a:ext uri="{FF2B5EF4-FFF2-40B4-BE49-F238E27FC236}">
              <a16:creationId xmlns:a16="http://schemas.microsoft.com/office/drawing/2014/main" id="{1C615CBD-5E3B-41D8-A4D0-3588054B8DA5}"/>
            </a:ext>
          </a:extLst>
        </xdr:cNvPr>
        <xdr:cNvSpPr txBox="1"/>
      </xdr:nvSpPr>
      <xdr:spPr>
        <a:xfrm>
          <a:off x="509588" y="7262812"/>
          <a:ext cx="819150"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B3F3AD-7004-4813-9C9E-8818909D33C3}" type="TxLink">
            <a:rPr lang="en-US" sz="1100" b="0" i="0" u="none" strike="noStrike">
              <a:solidFill>
                <a:schemeClr val="bg1">
                  <a:lumMod val="95000"/>
                </a:schemeClr>
              </a:solidFill>
              <a:latin typeface="Aptos"/>
            </a:rPr>
            <a:pPr algn="ctr"/>
            <a:t>60</a:t>
          </a:fld>
          <a:endParaRPr lang="en-IN" sz="1100">
            <a:solidFill>
              <a:schemeClr val="bg1">
                <a:lumMod val="95000"/>
              </a:schemeClr>
            </a:solidFill>
          </a:endParaRPr>
        </a:p>
      </xdr:txBody>
    </xdr:sp>
    <xdr:clientData/>
  </xdr:twoCellAnchor>
  <xdr:twoCellAnchor>
    <xdr:from>
      <xdr:col>9</xdr:col>
      <xdr:colOff>450645</xdr:colOff>
      <xdr:row>5</xdr:row>
      <xdr:rowOff>40968</xdr:rowOff>
    </xdr:from>
    <xdr:to>
      <xdr:col>12</xdr:col>
      <xdr:colOff>117782</xdr:colOff>
      <xdr:row>17</xdr:row>
      <xdr:rowOff>10242</xdr:rowOff>
    </xdr:to>
    <xdr:graphicFrame macro="">
      <xdr:nvGraphicFramePr>
        <xdr:cNvPr id="26" name="Chart 25">
          <a:extLst>
            <a:ext uri="{FF2B5EF4-FFF2-40B4-BE49-F238E27FC236}">
              <a16:creationId xmlns:a16="http://schemas.microsoft.com/office/drawing/2014/main" id="{95C98B9F-4666-43CF-88C6-1FEBCC718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0</xdr:colOff>
      <xdr:row>3</xdr:row>
      <xdr:rowOff>72333</xdr:rowOff>
    </xdr:from>
    <xdr:to>
      <xdr:col>9</xdr:col>
      <xdr:colOff>509809</xdr:colOff>
      <xdr:row>19</xdr:row>
      <xdr:rowOff>0</xdr:rowOff>
    </xdr:to>
    <xdr:graphicFrame macro="">
      <xdr:nvGraphicFramePr>
        <xdr:cNvPr id="25" name="Chart 24">
          <a:extLst>
            <a:ext uri="{FF2B5EF4-FFF2-40B4-BE49-F238E27FC236}">
              <a16:creationId xmlns:a16="http://schemas.microsoft.com/office/drawing/2014/main" id="{EEC69147-F320-46A7-BD18-254E7F34E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22</xdr:row>
      <xdr:rowOff>0</xdr:rowOff>
    </xdr:from>
    <xdr:to>
      <xdr:col>8</xdr:col>
      <xdr:colOff>383931</xdr:colOff>
      <xdr:row>37</xdr:row>
      <xdr:rowOff>3805</xdr:rowOff>
    </xdr:to>
    <xdr:graphicFrame macro="">
      <xdr:nvGraphicFramePr>
        <xdr:cNvPr id="27" name="Chart 26">
          <a:extLst>
            <a:ext uri="{FF2B5EF4-FFF2-40B4-BE49-F238E27FC236}">
              <a16:creationId xmlns:a16="http://schemas.microsoft.com/office/drawing/2014/main" id="{463204D8-9D04-49DA-AAED-374DE92E2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150979</xdr:colOff>
      <xdr:row>22</xdr:row>
      <xdr:rowOff>5529</xdr:rowOff>
    </xdr:from>
    <xdr:to>
      <xdr:col>14</xdr:col>
      <xdr:colOff>31932</xdr:colOff>
      <xdr:row>36</xdr:row>
      <xdr:rowOff>177464</xdr:rowOff>
    </xdr:to>
    <xdr:graphicFrame macro="">
      <xdr:nvGraphicFramePr>
        <xdr:cNvPr id="28" name="Chart 27">
          <a:extLst>
            <a:ext uri="{FF2B5EF4-FFF2-40B4-BE49-F238E27FC236}">
              <a16:creationId xmlns:a16="http://schemas.microsoft.com/office/drawing/2014/main" id="{98C0A137-2401-4786-8CB0-62485BD8D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0</xdr:colOff>
      <xdr:row>3</xdr:row>
      <xdr:rowOff>134117</xdr:rowOff>
    </xdr:from>
    <xdr:to>
      <xdr:col>17</xdr:col>
      <xdr:colOff>352425</xdr:colOff>
      <xdr:row>20</xdr:row>
      <xdr:rowOff>0</xdr:rowOff>
    </xdr:to>
    <xdr:graphicFrame macro="">
      <xdr:nvGraphicFramePr>
        <xdr:cNvPr id="29" name="Chart 28">
          <a:extLst>
            <a:ext uri="{FF2B5EF4-FFF2-40B4-BE49-F238E27FC236}">
              <a16:creationId xmlns:a16="http://schemas.microsoft.com/office/drawing/2014/main" id="{A294A936-3107-4B88-AB9C-0D31FAB8E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6436</xdr:colOff>
      <xdr:row>3</xdr:row>
      <xdr:rowOff>122280</xdr:rowOff>
    </xdr:from>
    <xdr:to>
      <xdr:col>23</xdr:col>
      <xdr:colOff>12873</xdr:colOff>
      <xdr:row>20</xdr:row>
      <xdr:rowOff>0</xdr:rowOff>
    </xdr:to>
    <xdr:graphicFrame macro="">
      <xdr:nvGraphicFramePr>
        <xdr:cNvPr id="30" name="Chart 29">
          <a:extLst>
            <a:ext uri="{FF2B5EF4-FFF2-40B4-BE49-F238E27FC236}">
              <a16:creationId xmlns:a16="http://schemas.microsoft.com/office/drawing/2014/main" id="{919CB411-4121-4679-8DD5-F459FFD3D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an Bhatia" refreshedDate="45907.632285763888" backgroundQuery="1" createdVersion="8" refreshedVersion="8" minRefreshableVersion="3" recordCount="0" supportSubquery="1" supportAdvancedDrill="1" xr:uid="{347EBE0F-1976-4847-84D0-ED29611389AB}">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t]" caption="Total Amou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an Bhatia" refreshedDate="45907.632274768519" backgroundQuery="1" createdVersion="8" refreshedVersion="8" minRefreshableVersion="3" recordCount="0" supportSubquery="1" supportAdvancedDrill="1" xr:uid="{07A539A5-D1B6-4BD6-92C2-3BB5FDAD348C}">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t]" caption="Total Amou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t]" caption="Total Amou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an Bhatia" refreshedDate="45907.63227303241" backgroundQuery="1" createdVersion="8" refreshedVersion="8" minRefreshableVersion="3" recordCount="0" supportSubquery="1" supportAdvancedDrill="1" xr:uid="{F5C32661-CC8B-47F8-8032-671484C45E6A}">
  <cacheSource type="external" connectionId="1"/>
  <cacheFields count="5">
    <cacheField name="[Measures].[Call count]" caption="Call count" numFmtId="0" hierarchy="17" level="32767"/>
    <cacheField name="[Measures].[Total Amout]" caption="Total Amou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t]" caption="Total Amou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an Bhatia" refreshedDate="45908.037306944447" backgroundQuery="1" createdVersion="8" refreshedVersion="8" minRefreshableVersion="3" recordCount="0" supportSubquery="1" supportAdvancedDrill="1" xr:uid="{6DCB916D-90CA-4C11-B48C-AB1E9BD6F280}">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t]" caption="Total Amou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t]" caption="Total Amou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an Bhatia" refreshedDate="45908.14006435185" backgroundQuery="1" createdVersion="8" refreshedVersion="8" minRefreshableVersion="3" recordCount="0" supportSubquery="1" supportAdvancedDrill="1" xr:uid="{4391D25D-3DC6-4646-98BF-E516E66204C7}">
  <cacheSource type="external" connectionId="1"/>
  <cacheFields count="6">
    <cacheField name="[Measures].[Call count]" caption="Call count" numFmtId="0" hierarchy="17" level="32767"/>
    <cacheField name="[Measures].[Total Amout]" caption="Total Amou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t]" caption="Total Amou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an Bhatia" refreshedDate="45908.140065046297" backgroundQuery="1" createdVersion="8" refreshedVersion="8" minRefreshableVersion="3" recordCount="0" supportSubquery="1" supportAdvancedDrill="1" xr:uid="{572CBB3C-0048-4F0A-B98A-26E237326C04}">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t]" caption="Total Amou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an Bhatia" refreshedDate="45908.140065740743" backgroundQuery="1" createdVersion="8" refreshedVersion="8" minRefreshableVersion="3" recordCount="0" supportSubquery="1" supportAdvancedDrill="1" xr:uid="{501ACB15-E2C6-4230-B985-99A3AEF50223}">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t]" caption="Total Amou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an Bhatia" refreshedDate="45908.140066203705" backgroundQuery="1" createdVersion="8" refreshedVersion="8" minRefreshableVersion="3" recordCount="0" supportSubquery="1" supportAdvancedDrill="1" xr:uid="{E892E595-4994-412C-8096-EA6A349318B8}">
  <cacheSource type="external" connectionId="1"/>
  <cacheFields count="1">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t]" caption="Total Amou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an Bhatia" refreshedDate="45908.140066898151" backgroundQuery="1" createdVersion="8" refreshedVersion="8" minRefreshableVersion="3" recordCount="0" supportSubquery="1" supportAdvancedDrill="1" xr:uid="{6684BA3F-87EC-4442-97F4-AE160A7EDFE6}">
  <cacheSource type="external" connectionId="1"/>
  <cacheFields count="3">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t]" caption="Total Amou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ating rounded]" caption="Count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an Bhatia" refreshedDate="45907.632275810189" backgroundQuery="1" createdVersion="3" refreshedVersion="8" minRefreshableVersion="3" recordCount="0" supportSubquery="1" supportAdvancedDrill="1" xr:uid="{D91C2FED-BEB3-4BCC-BCB0-CF661A48B375}">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t]" caption="Total Amou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647845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B73055-91D5-4D31-9F6B-11BB26CE5BD4}" name="rep"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B54:B5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16">
      <pivotArea dataOnly="0" labelOnly="1" fieldPosition="0">
        <references count="1">
          <reference field="0" count="0"/>
        </references>
      </pivotArea>
    </format>
    <format dxfId="15">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64D3A3-8813-4BD9-B3F0-B6C345379E0F}" name="vaalues by re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5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6F2EF-41A3-41B7-A4F8-D30C38CB08D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3DA3D8-5DC9-4BCD-B32F-FF0BF3D1A065}" name="callers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9:D6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5">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3">
          <reference field="4294967294" count="1" selected="0">
            <x v="0"/>
          </reference>
          <reference field="0" count="1" selected="0">
            <x v="0"/>
          </reference>
          <reference field="1" count="1" selected="0">
            <x v="1"/>
          </reference>
        </references>
      </pivotArea>
    </chartFormat>
    <chartFormat chart="6" format="7">
      <pivotArea type="data" outline="0" fieldPosition="0">
        <references count="3">
          <reference field="4294967294" count="1" selected="0">
            <x v="0"/>
          </reference>
          <reference field="0" count="1" selected="0">
            <x v="0"/>
          </reference>
          <reference field="1" count="1" selected="0">
            <x v="2"/>
          </reference>
        </references>
      </pivotArea>
    </chartFormat>
    <chartFormat chart="6" format="8">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DA2BB4-2BF8-4922-96E0-F73C7B9B6130}" name="monthly calls"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8:C31" firstHeaderRow="0" firstDataRow="1" firstDataCol="1"/>
  <pivotFields count="5">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3">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8"/>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3A2092-FA92-418A-8EE1-3B51E782183E}" name="PivotTable9"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3">
  <location ref="A77:G9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A48EC9-6300-4BB0-87D5-3E32C46B313A}" name="calls by weekday"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34:B4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EC9F43-C3C4-44AF-A536-FB7BEB1505EA}"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67:B74"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3">
    <chartFormat chart="9"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910EFB-EAED-42BE-BC56-D88C060E93E8}" name="main criterias"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0B0F6E1-452E-46D5-B611-BE6245B2E3F9}" sourceName="[calls].[Representative]">
  <pivotTables>
    <pivotTable tabId="6" name="main criterias"/>
    <pivotTable tabId="6" name="monthly calls"/>
    <pivotTable tabId="6" name="calls by weekday"/>
    <pivotTable tabId="6" name="rep"/>
    <pivotTable tabId="6" name="rep satisfaction"/>
  </pivotTables>
  <data>
    <olap pivotCacheId="126478455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348E71C-D715-4CD8-88B7-BE10E2B70AF8}" cache="Slicer_Representative" caption="Representative" showCaption="0" level="1" style="SlicerStyleDark5 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ptos "/>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F2CA1-D59F-4610-8981-EC4AAAED369B}">
  <dimension ref="A3:I96"/>
  <sheetViews>
    <sheetView topLeftCell="A43" zoomScale="101" zoomScaleNormal="85" workbookViewId="0">
      <selection activeCell="G59" sqref="G59"/>
    </sheetView>
  </sheetViews>
  <sheetFormatPr defaultRowHeight="14.25" x14ac:dyDescent="0.45"/>
  <cols>
    <col min="1" max="1" width="13.19921875" bestFit="1" customWidth="1"/>
    <col min="2" max="2" width="10" bestFit="1" customWidth="1"/>
    <col min="3" max="3" width="11" bestFit="1" customWidth="1"/>
    <col min="4" max="4" width="10.06640625" bestFit="1" customWidth="1"/>
    <col min="5" max="5" width="7.46484375" bestFit="1" customWidth="1"/>
    <col min="6" max="6" width="6.59765625" bestFit="1" customWidth="1"/>
    <col min="7" max="7" width="11.06640625" bestFit="1" customWidth="1"/>
    <col min="8" max="8" width="9.1328125" bestFit="1" customWidth="1"/>
    <col min="9" max="9" width="11.06640625" customWidth="1"/>
  </cols>
  <sheetData>
    <row r="3" spans="1:5" x14ac:dyDescent="0.45">
      <c r="A3" t="s">
        <v>1042</v>
      </c>
      <c r="B3" t="s">
        <v>1043</v>
      </c>
      <c r="C3" t="s">
        <v>1044</v>
      </c>
      <c r="D3" t="s">
        <v>1045</v>
      </c>
      <c r="E3" t="s">
        <v>1046</v>
      </c>
    </row>
    <row r="4" spans="1:5" x14ac:dyDescent="0.45">
      <c r="A4" s="22">
        <v>1000</v>
      </c>
      <c r="B4" s="21">
        <v>96623</v>
      </c>
      <c r="C4" s="22">
        <v>89850</v>
      </c>
      <c r="D4" s="23">
        <v>3.8854000000000033</v>
      </c>
      <c r="E4">
        <v>307</v>
      </c>
    </row>
    <row r="9" spans="1:5" x14ac:dyDescent="0.45">
      <c r="A9" t="s">
        <v>1042</v>
      </c>
      <c r="B9" t="s">
        <v>1043</v>
      </c>
      <c r="C9" t="s">
        <v>1044</v>
      </c>
      <c r="D9" t="s">
        <v>1045</v>
      </c>
      <c r="E9" t="s">
        <v>1046</v>
      </c>
    </row>
    <row r="10" spans="1:5" x14ac:dyDescent="0.45">
      <c r="A10" s="22">
        <v>207</v>
      </c>
      <c r="B10" s="21">
        <v>20872</v>
      </c>
      <c r="C10" s="22">
        <v>17700</v>
      </c>
      <c r="D10" s="23">
        <v>3.8589371980676304</v>
      </c>
      <c r="E10">
        <v>60</v>
      </c>
    </row>
    <row r="18" spans="1:3" x14ac:dyDescent="0.45">
      <c r="A18" s="24" t="s">
        <v>1047</v>
      </c>
      <c r="B18" t="s">
        <v>1042</v>
      </c>
      <c r="C18" t="s">
        <v>1061</v>
      </c>
    </row>
    <row r="19" spans="1:3" x14ac:dyDescent="0.45">
      <c r="A19" s="25" t="s">
        <v>1049</v>
      </c>
      <c r="B19" s="22">
        <v>13</v>
      </c>
      <c r="C19" s="22">
        <v>13</v>
      </c>
    </row>
    <row r="20" spans="1:3" x14ac:dyDescent="0.45">
      <c r="A20" s="25" t="s">
        <v>1050</v>
      </c>
      <c r="B20" s="22">
        <v>13</v>
      </c>
      <c r="C20" s="22">
        <v>13</v>
      </c>
    </row>
    <row r="21" spans="1:3" x14ac:dyDescent="0.45">
      <c r="A21" s="25" t="s">
        <v>1051</v>
      </c>
      <c r="B21" s="22">
        <v>28</v>
      </c>
      <c r="C21" s="22">
        <v>28</v>
      </c>
    </row>
    <row r="22" spans="1:3" x14ac:dyDescent="0.45">
      <c r="A22" s="25" t="s">
        <v>1052</v>
      </c>
      <c r="B22" s="22">
        <v>24</v>
      </c>
      <c r="C22" s="22">
        <v>24</v>
      </c>
    </row>
    <row r="23" spans="1:3" x14ac:dyDescent="0.45">
      <c r="A23" s="25" t="s">
        <v>1053</v>
      </c>
      <c r="B23" s="22">
        <v>23</v>
      </c>
      <c r="C23" s="22">
        <v>23</v>
      </c>
    </row>
    <row r="24" spans="1:3" x14ac:dyDescent="0.45">
      <c r="A24" s="25" t="s">
        <v>1054</v>
      </c>
      <c r="B24" s="22">
        <v>17</v>
      </c>
      <c r="C24" s="22">
        <v>17</v>
      </c>
    </row>
    <row r="25" spans="1:3" x14ac:dyDescent="0.45">
      <c r="A25" s="25" t="s">
        <v>1055</v>
      </c>
      <c r="B25" s="22">
        <v>11</v>
      </c>
      <c r="C25" s="22">
        <v>11</v>
      </c>
    </row>
    <row r="26" spans="1:3" x14ac:dyDescent="0.45">
      <c r="A26" s="25" t="s">
        <v>1056</v>
      </c>
      <c r="B26" s="22">
        <v>11</v>
      </c>
      <c r="C26" s="22">
        <v>11</v>
      </c>
    </row>
    <row r="27" spans="1:3" x14ac:dyDescent="0.45">
      <c r="A27" s="25" t="s">
        <v>1057</v>
      </c>
      <c r="B27" s="22">
        <v>14</v>
      </c>
      <c r="C27" s="22">
        <v>14</v>
      </c>
    </row>
    <row r="28" spans="1:3" x14ac:dyDescent="0.45">
      <c r="A28" s="25" t="s">
        <v>1058</v>
      </c>
      <c r="B28" s="22">
        <v>30</v>
      </c>
      <c r="C28" s="22">
        <v>30</v>
      </c>
    </row>
    <row r="29" spans="1:3" x14ac:dyDescent="0.45">
      <c r="A29" s="25" t="s">
        <v>1059</v>
      </c>
      <c r="B29" s="22">
        <v>14</v>
      </c>
      <c r="C29" s="22">
        <v>14</v>
      </c>
    </row>
    <row r="30" spans="1:3" x14ac:dyDescent="0.45">
      <c r="A30" s="25" t="s">
        <v>1060</v>
      </c>
      <c r="B30" s="22">
        <v>9</v>
      </c>
      <c r="C30" s="22">
        <v>9</v>
      </c>
    </row>
    <row r="31" spans="1:3" x14ac:dyDescent="0.45">
      <c r="A31" s="25" t="s">
        <v>1048</v>
      </c>
      <c r="B31" s="22">
        <v>207</v>
      </c>
      <c r="C31" s="22">
        <v>207</v>
      </c>
    </row>
    <row r="34" spans="1:9" x14ac:dyDescent="0.45">
      <c r="A34" s="24" t="s">
        <v>1047</v>
      </c>
      <c r="B34" t="s">
        <v>1042</v>
      </c>
    </row>
    <row r="35" spans="1:9" x14ac:dyDescent="0.45">
      <c r="A35" s="25" t="s">
        <v>1063</v>
      </c>
      <c r="B35" s="22">
        <v>30</v>
      </c>
    </row>
    <row r="36" spans="1:9" x14ac:dyDescent="0.45">
      <c r="A36" s="25" t="s">
        <v>1068</v>
      </c>
      <c r="B36" s="22">
        <v>34</v>
      </c>
    </row>
    <row r="37" spans="1:9" x14ac:dyDescent="0.45">
      <c r="A37" s="25" t="s">
        <v>1064</v>
      </c>
      <c r="B37" s="22">
        <v>26</v>
      </c>
    </row>
    <row r="38" spans="1:9" x14ac:dyDescent="0.45">
      <c r="A38" s="25" t="s">
        <v>1065</v>
      </c>
      <c r="B38" s="22">
        <v>38</v>
      </c>
    </row>
    <row r="39" spans="1:9" x14ac:dyDescent="0.45">
      <c r="A39" s="25" t="s">
        <v>1066</v>
      </c>
      <c r="B39" s="22">
        <v>27</v>
      </c>
    </row>
    <row r="40" spans="1:9" x14ac:dyDescent="0.45">
      <c r="A40" s="25" t="s">
        <v>1067</v>
      </c>
      <c r="B40" s="22">
        <v>27</v>
      </c>
    </row>
    <row r="41" spans="1:9" x14ac:dyDescent="0.45">
      <c r="A41" s="25" t="s">
        <v>1062</v>
      </c>
      <c r="B41" s="22">
        <v>25</v>
      </c>
    </row>
    <row r="42" spans="1:9" x14ac:dyDescent="0.45">
      <c r="A42" s="25" t="s">
        <v>1048</v>
      </c>
      <c r="B42" s="22">
        <v>207</v>
      </c>
    </row>
    <row r="43" spans="1:9" x14ac:dyDescent="0.45">
      <c r="G43" t="s">
        <v>1073</v>
      </c>
      <c r="H43" t="str">
        <f>B55</f>
        <v>R03</v>
      </c>
    </row>
    <row r="45" spans="1:9" x14ac:dyDescent="0.45">
      <c r="A45" s="24" t="s">
        <v>1047</v>
      </c>
      <c r="B45" t="s">
        <v>1042</v>
      </c>
      <c r="C45" t="s">
        <v>1043</v>
      </c>
      <c r="E45" t="s">
        <v>1069</v>
      </c>
      <c r="F45" t="s">
        <v>1042</v>
      </c>
      <c r="G45" t="s">
        <v>1070</v>
      </c>
      <c r="H45" t="s">
        <v>1071</v>
      </c>
      <c r="I45" t="s">
        <v>1072</v>
      </c>
    </row>
    <row r="46" spans="1:9" x14ac:dyDescent="0.45">
      <c r="A46" s="25" t="s">
        <v>11</v>
      </c>
      <c r="B46" s="22">
        <v>189</v>
      </c>
      <c r="C46" s="21">
        <v>18415</v>
      </c>
      <c r="E46" t="str" cm="1">
        <f t="array" ref="E46:G50">A46:C50</f>
        <v>R01</v>
      </c>
      <c r="F46">
        <v>189</v>
      </c>
      <c r="G46" s="26">
        <v>18415</v>
      </c>
      <c r="H46" t="e">
        <f>IF(E46=$H$43,F46,NA())</f>
        <v>#N/A</v>
      </c>
      <c r="I46" t="e">
        <f>IF(E46=$H$43,G46,NA())</f>
        <v>#N/A</v>
      </c>
    </row>
    <row r="47" spans="1:9" x14ac:dyDescent="0.45">
      <c r="A47" s="25" t="s">
        <v>9</v>
      </c>
      <c r="B47" s="22">
        <v>218</v>
      </c>
      <c r="C47" s="21">
        <v>20581</v>
      </c>
      <c r="E47" t="str">
        <v>R02</v>
      </c>
      <c r="F47">
        <v>218</v>
      </c>
      <c r="G47" s="26">
        <v>20581</v>
      </c>
      <c r="H47" t="e">
        <f>IF(E47=$H$43,F47,NA())</f>
        <v>#N/A</v>
      </c>
      <c r="I47" t="e">
        <f>IF(E47=$H$43,G47,NA())</f>
        <v>#N/A</v>
      </c>
    </row>
    <row r="48" spans="1:9" x14ac:dyDescent="0.45">
      <c r="A48" s="25" t="s">
        <v>6</v>
      </c>
      <c r="B48" s="22">
        <v>207</v>
      </c>
      <c r="C48" s="21">
        <v>20872</v>
      </c>
      <c r="E48" t="str">
        <v>R03</v>
      </c>
      <c r="F48">
        <v>207</v>
      </c>
      <c r="G48" s="26">
        <v>20872</v>
      </c>
      <c r="H48">
        <f>IF(E48=$H$43,F48,NA())</f>
        <v>207</v>
      </c>
      <c r="I48">
        <f>IF(E48=$H$43,G48,NA())</f>
        <v>20872</v>
      </c>
    </row>
    <row r="49" spans="1:9" x14ac:dyDescent="0.45">
      <c r="A49" s="25" t="s">
        <v>13</v>
      </c>
      <c r="B49" s="22">
        <v>186</v>
      </c>
      <c r="C49" s="21">
        <v>16651</v>
      </c>
      <c r="E49" t="str">
        <v>R04</v>
      </c>
      <c r="F49">
        <v>186</v>
      </c>
      <c r="G49" s="26">
        <v>16651</v>
      </c>
      <c r="H49" t="e">
        <f>IF(E49=$H$43,F49,NA())</f>
        <v>#N/A</v>
      </c>
      <c r="I49" t="e">
        <f>IF(E49=$H$43,G49,NA())</f>
        <v>#N/A</v>
      </c>
    </row>
    <row r="50" spans="1:9" x14ac:dyDescent="0.45">
      <c r="A50" s="25" t="s">
        <v>10</v>
      </c>
      <c r="B50" s="22">
        <v>200</v>
      </c>
      <c r="C50" s="21">
        <v>20104</v>
      </c>
      <c r="E50" t="str">
        <v>R05</v>
      </c>
      <c r="F50">
        <v>200</v>
      </c>
      <c r="G50" s="26">
        <v>20104</v>
      </c>
      <c r="H50" t="e">
        <f>IF(E50=$H$43,F50,NA())</f>
        <v>#N/A</v>
      </c>
      <c r="I50" t="e">
        <f>IF(E50=$H$43,G50,NA())</f>
        <v>#N/A</v>
      </c>
    </row>
    <row r="51" spans="1:9" x14ac:dyDescent="0.45">
      <c r="A51" s="25" t="s">
        <v>1048</v>
      </c>
      <c r="B51" s="22">
        <v>1000</v>
      </c>
      <c r="C51" s="21">
        <v>96623</v>
      </c>
    </row>
    <row r="54" spans="1:9" x14ac:dyDescent="0.45">
      <c r="B54" s="24" t="s">
        <v>1047</v>
      </c>
    </row>
    <row r="55" spans="1:9" x14ac:dyDescent="0.45">
      <c r="B55" s="31" t="s">
        <v>6</v>
      </c>
    </row>
    <row r="59" spans="1:9" x14ac:dyDescent="0.45">
      <c r="A59" s="24" t="s">
        <v>1042</v>
      </c>
      <c r="B59" s="24" t="s">
        <v>1074</v>
      </c>
    </row>
    <row r="60" spans="1:9" x14ac:dyDescent="0.45">
      <c r="A60" s="24" t="s">
        <v>1047</v>
      </c>
      <c r="B60" t="s">
        <v>999</v>
      </c>
      <c r="C60" t="s">
        <v>998</v>
      </c>
      <c r="D60" t="s">
        <v>1048</v>
      </c>
    </row>
    <row r="61" spans="1:9" x14ac:dyDescent="0.45">
      <c r="A61" s="25" t="s">
        <v>1002</v>
      </c>
      <c r="B61" s="22">
        <v>144</v>
      </c>
      <c r="C61" s="22">
        <v>132</v>
      </c>
      <c r="D61" s="22">
        <v>276</v>
      </c>
    </row>
    <row r="62" spans="1:9" x14ac:dyDescent="0.45">
      <c r="A62" s="25" t="s">
        <v>1001</v>
      </c>
      <c r="B62" s="22">
        <v>326</v>
      </c>
      <c r="C62" s="22">
        <v>63</v>
      </c>
      <c r="D62" s="22">
        <v>389</v>
      </c>
    </row>
    <row r="63" spans="1:9" x14ac:dyDescent="0.45">
      <c r="A63" s="25" t="s">
        <v>1000</v>
      </c>
      <c r="B63" s="22">
        <v>129</v>
      </c>
      <c r="C63" s="22">
        <v>206</v>
      </c>
      <c r="D63" s="22">
        <v>335</v>
      </c>
    </row>
    <row r="64" spans="1:9" x14ac:dyDescent="0.45">
      <c r="A64" s="25" t="s">
        <v>1048</v>
      </c>
      <c r="B64" s="22">
        <v>599</v>
      </c>
      <c r="C64" s="22">
        <v>401</v>
      </c>
      <c r="D64" s="22">
        <v>1000</v>
      </c>
    </row>
    <row r="67" spans="1:7" x14ac:dyDescent="0.45">
      <c r="A67" s="24" t="s">
        <v>1047</v>
      </c>
      <c r="B67" t="s">
        <v>1042</v>
      </c>
    </row>
    <row r="68" spans="1:7" x14ac:dyDescent="0.45">
      <c r="A68" s="25">
        <v>0</v>
      </c>
      <c r="B68" s="22">
        <v>1</v>
      </c>
    </row>
    <row r="69" spans="1:7" x14ac:dyDescent="0.45">
      <c r="A69" s="25">
        <v>1</v>
      </c>
      <c r="B69" s="22">
        <v>1</v>
      </c>
    </row>
    <row r="70" spans="1:7" x14ac:dyDescent="0.45">
      <c r="A70" s="25">
        <v>2</v>
      </c>
      <c r="B70" s="22">
        <v>11</v>
      </c>
    </row>
    <row r="71" spans="1:7" x14ac:dyDescent="0.45">
      <c r="A71" s="25">
        <v>3</v>
      </c>
      <c r="B71" s="22">
        <v>46</v>
      </c>
    </row>
    <row r="72" spans="1:7" x14ac:dyDescent="0.45">
      <c r="A72" s="25">
        <v>4</v>
      </c>
      <c r="B72" s="22">
        <v>88</v>
      </c>
    </row>
    <row r="73" spans="1:7" x14ac:dyDescent="0.45">
      <c r="A73" s="25">
        <v>5</v>
      </c>
      <c r="B73" s="22">
        <v>60</v>
      </c>
    </row>
    <row r="74" spans="1:7" x14ac:dyDescent="0.45">
      <c r="A74" s="25" t="s">
        <v>1048</v>
      </c>
      <c r="B74" s="22">
        <v>207</v>
      </c>
    </row>
    <row r="77" spans="1:7" x14ac:dyDescent="0.45">
      <c r="A77" s="24" t="s">
        <v>1043</v>
      </c>
      <c r="B77" s="24" t="s">
        <v>1074</v>
      </c>
    </row>
    <row r="78" spans="1:7" x14ac:dyDescent="0.45">
      <c r="A78" s="24" t="s">
        <v>1047</v>
      </c>
      <c r="B78" t="s">
        <v>11</v>
      </c>
      <c r="C78" t="s">
        <v>9</v>
      </c>
      <c r="D78" t="s">
        <v>6</v>
      </c>
      <c r="E78" t="s">
        <v>13</v>
      </c>
      <c r="F78" t="s">
        <v>10</v>
      </c>
      <c r="G78" t="s">
        <v>1048</v>
      </c>
    </row>
    <row r="79" spans="1:7" x14ac:dyDescent="0.45">
      <c r="A79" s="25" t="s">
        <v>1002</v>
      </c>
    </row>
    <row r="80" spans="1:7" x14ac:dyDescent="0.45">
      <c r="A80" s="28" t="s">
        <v>20</v>
      </c>
      <c r="B80" s="21">
        <v>891</v>
      </c>
      <c r="C80" s="21">
        <v>1332</v>
      </c>
      <c r="D80" s="21">
        <v>1282</v>
      </c>
      <c r="E80" s="21">
        <v>739</v>
      </c>
      <c r="F80" s="21">
        <v>560</v>
      </c>
      <c r="G80" s="21">
        <v>4804</v>
      </c>
    </row>
    <row r="81" spans="1:7" x14ac:dyDescent="0.45">
      <c r="A81" s="28" t="s">
        <v>12</v>
      </c>
      <c r="B81" s="21">
        <v>1991</v>
      </c>
      <c r="C81" s="21">
        <v>1886</v>
      </c>
      <c r="D81" s="21">
        <v>1206</v>
      </c>
      <c r="E81" s="21">
        <v>884</v>
      </c>
      <c r="F81" s="21">
        <v>1722</v>
      </c>
      <c r="G81" s="21">
        <v>7689</v>
      </c>
    </row>
    <row r="82" spans="1:7" x14ac:dyDescent="0.45">
      <c r="A82" s="28" t="s">
        <v>8</v>
      </c>
      <c r="B82" s="21">
        <v>1163</v>
      </c>
      <c r="C82" s="21">
        <v>1180</v>
      </c>
      <c r="D82" s="21">
        <v>1616</v>
      </c>
      <c r="E82" s="21">
        <v>1043</v>
      </c>
      <c r="F82" s="21">
        <v>1747</v>
      </c>
      <c r="G82" s="21">
        <v>6749</v>
      </c>
    </row>
    <row r="83" spans="1:7" x14ac:dyDescent="0.45">
      <c r="A83" s="28" t="s">
        <v>16</v>
      </c>
      <c r="B83" s="21">
        <v>1438</v>
      </c>
      <c r="C83" s="21">
        <v>1616</v>
      </c>
      <c r="D83" s="21">
        <v>866</v>
      </c>
      <c r="E83" s="21">
        <v>829</v>
      </c>
      <c r="F83" s="21">
        <v>2070</v>
      </c>
      <c r="G83" s="21">
        <v>6819</v>
      </c>
    </row>
    <row r="84" spans="1:7" x14ac:dyDescent="0.45">
      <c r="A84" s="25" t="s">
        <v>1001</v>
      </c>
    </row>
    <row r="85" spans="1:7" x14ac:dyDescent="0.45">
      <c r="A85" s="28" t="s">
        <v>24</v>
      </c>
      <c r="B85" s="21">
        <v>1233</v>
      </c>
      <c r="C85" s="21">
        <v>223</v>
      </c>
      <c r="D85" s="21">
        <v>1680</v>
      </c>
      <c r="E85" s="21">
        <v>990</v>
      </c>
      <c r="F85" s="21">
        <v>1508</v>
      </c>
      <c r="G85" s="21">
        <v>5634</v>
      </c>
    </row>
    <row r="86" spans="1:7" x14ac:dyDescent="0.45">
      <c r="A86" s="28" t="s">
        <v>15</v>
      </c>
      <c r="B86" s="21">
        <v>1598</v>
      </c>
      <c r="C86" s="21">
        <v>1907</v>
      </c>
      <c r="D86" s="21">
        <v>869</v>
      </c>
      <c r="E86" s="21">
        <v>1426</v>
      </c>
      <c r="F86" s="21">
        <v>1416</v>
      </c>
      <c r="G86" s="21">
        <v>7216</v>
      </c>
    </row>
    <row r="87" spans="1:7" x14ac:dyDescent="0.45">
      <c r="A87" s="28" t="s">
        <v>5</v>
      </c>
      <c r="B87" s="21">
        <v>900</v>
      </c>
      <c r="C87" s="21">
        <v>1016</v>
      </c>
      <c r="D87" s="21">
        <v>960</v>
      </c>
      <c r="E87" s="21">
        <v>940</v>
      </c>
      <c r="F87" s="21">
        <v>1193</v>
      </c>
      <c r="G87" s="21">
        <v>5009</v>
      </c>
    </row>
    <row r="88" spans="1:7" x14ac:dyDescent="0.45">
      <c r="A88" s="28" t="s">
        <v>18</v>
      </c>
      <c r="B88" s="21">
        <v>900</v>
      </c>
      <c r="C88" s="21">
        <v>1470</v>
      </c>
      <c r="D88" s="21">
        <v>1617</v>
      </c>
      <c r="E88" s="21">
        <v>1314</v>
      </c>
      <c r="F88" s="21">
        <v>941</v>
      </c>
      <c r="G88" s="21">
        <v>6242</v>
      </c>
    </row>
    <row r="89" spans="1:7" x14ac:dyDescent="0.45">
      <c r="A89" s="28" t="s">
        <v>14</v>
      </c>
      <c r="B89" s="21">
        <v>1255</v>
      </c>
      <c r="C89" s="21">
        <v>516</v>
      </c>
      <c r="D89" s="21">
        <v>1874</v>
      </c>
      <c r="E89" s="21">
        <v>1863</v>
      </c>
      <c r="F89" s="21">
        <v>1722</v>
      </c>
      <c r="G89" s="21">
        <v>7230</v>
      </c>
    </row>
    <row r="90" spans="1:7" x14ac:dyDescent="0.45">
      <c r="A90" s="28" t="s">
        <v>19</v>
      </c>
      <c r="B90" s="21">
        <v>1138</v>
      </c>
      <c r="C90" s="21">
        <v>1898</v>
      </c>
      <c r="D90" s="21">
        <v>1482</v>
      </c>
      <c r="E90" s="21">
        <v>846</v>
      </c>
      <c r="F90" s="21">
        <v>1154</v>
      </c>
      <c r="G90" s="21">
        <v>6518</v>
      </c>
    </row>
    <row r="91" spans="1:7" x14ac:dyDescent="0.45">
      <c r="A91" s="25" t="s">
        <v>1000</v>
      </c>
    </row>
    <row r="92" spans="1:7" x14ac:dyDescent="0.45">
      <c r="A92" s="28" t="s">
        <v>17</v>
      </c>
      <c r="B92" s="21">
        <v>1655</v>
      </c>
      <c r="C92" s="21">
        <v>805</v>
      </c>
      <c r="D92" s="21">
        <v>2263</v>
      </c>
      <c r="E92" s="21">
        <v>987</v>
      </c>
      <c r="F92" s="21">
        <v>1075</v>
      </c>
      <c r="G92" s="21">
        <v>6785</v>
      </c>
    </row>
    <row r="93" spans="1:7" x14ac:dyDescent="0.45">
      <c r="A93" s="28" t="s">
        <v>23</v>
      </c>
      <c r="B93" s="21">
        <v>1104</v>
      </c>
      <c r="C93" s="21">
        <v>2280</v>
      </c>
      <c r="D93" s="21">
        <v>1445</v>
      </c>
      <c r="E93" s="21">
        <v>1722</v>
      </c>
      <c r="F93" s="21">
        <v>1196</v>
      </c>
      <c r="G93" s="21">
        <v>7747</v>
      </c>
    </row>
    <row r="94" spans="1:7" x14ac:dyDescent="0.45">
      <c r="A94" s="28" t="s">
        <v>7</v>
      </c>
      <c r="B94" s="21">
        <v>372</v>
      </c>
      <c r="C94" s="21">
        <v>1818</v>
      </c>
      <c r="D94" s="21">
        <v>1346</v>
      </c>
      <c r="E94" s="21">
        <v>1156</v>
      </c>
      <c r="F94" s="21">
        <v>1484</v>
      </c>
      <c r="G94" s="21">
        <v>6176</v>
      </c>
    </row>
    <row r="95" spans="1:7" x14ac:dyDescent="0.45">
      <c r="A95" s="28" t="s">
        <v>22</v>
      </c>
      <c r="B95" s="21">
        <v>1415</v>
      </c>
      <c r="C95" s="21">
        <v>1271</v>
      </c>
      <c r="D95" s="21">
        <v>1214</v>
      </c>
      <c r="E95" s="21">
        <v>1135</v>
      </c>
      <c r="F95" s="21">
        <v>1566</v>
      </c>
      <c r="G95" s="21">
        <v>6601</v>
      </c>
    </row>
    <row r="96" spans="1:7" x14ac:dyDescent="0.45">
      <c r="A96" s="28" t="s">
        <v>21</v>
      </c>
      <c r="B96" s="21">
        <v>1362</v>
      </c>
      <c r="C96" s="21">
        <v>1363</v>
      </c>
      <c r="D96" s="21">
        <v>1152</v>
      </c>
      <c r="E96" s="21">
        <v>777</v>
      </c>
      <c r="F96" s="21">
        <v>750</v>
      </c>
      <c r="G96" s="21">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03" zoomScaleNormal="115" workbookViewId="0">
      <selection activeCell="B4" sqref="B4:B1003"/>
    </sheetView>
  </sheetViews>
  <sheetFormatPr defaultRowHeight="14.25" x14ac:dyDescent="0.45"/>
  <cols>
    <col min="1" max="1" width="3.265625" customWidth="1"/>
    <col min="2" max="2" width="14.59765625" customWidth="1"/>
    <col min="3" max="3" width="12.86328125" customWidth="1"/>
    <col min="4" max="4" width="16.59765625" customWidth="1"/>
    <col min="5" max="5" width="15" customWidth="1"/>
    <col min="6" max="6" width="16.1328125" customWidth="1"/>
    <col min="7" max="7" width="17.265625" customWidth="1"/>
    <col min="8" max="8" width="18.3984375" customWidth="1"/>
    <col min="9" max="9" width="17.265625" customWidth="1"/>
    <col min="10" max="12" width="15.46484375" customWidth="1"/>
    <col min="13" max="16" width="7.46484375" customWidth="1"/>
    <col min="17" max="17" width="14.59765625" customWidth="1"/>
    <col min="20" max="20" width="10.59765625" customWidth="1"/>
  </cols>
  <sheetData>
    <row r="1" spans="2:20" s="4" customFormat="1" ht="48" customHeight="1" x14ac:dyDescent="0.45">
      <c r="B1" s="5" t="s">
        <v>1003</v>
      </c>
    </row>
    <row r="2" spans="2:20" x14ac:dyDescent="0.45">
      <c r="R2" s="1"/>
    </row>
    <row r="3" spans="2:20" x14ac:dyDescent="0.4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4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4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4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4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4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4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4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4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4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4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4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4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4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4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4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4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4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4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4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4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4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4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4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4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4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4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4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4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4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4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4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4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4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4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4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4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4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4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4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4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4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4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4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4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4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4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4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4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4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4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4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4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4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4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4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4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4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4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4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4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4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4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4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4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4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4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4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4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4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4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4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4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4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4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4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4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4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4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4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4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4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4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4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4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4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4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4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4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4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4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4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4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4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4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4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4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4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4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4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4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4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4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4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4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4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4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4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4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4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4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4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4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4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4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4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4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4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4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4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4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4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4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4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4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4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4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4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4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4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4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4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4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4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4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4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4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4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4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4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4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4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4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4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4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4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4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4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4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4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4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4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4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4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4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4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4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4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4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4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4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4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4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4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4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4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4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4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4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4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4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4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4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4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4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4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4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4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4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4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4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4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4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4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4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4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4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4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4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4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4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4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4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4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4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4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4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4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4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4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4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4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4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4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4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4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4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4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4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4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4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4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4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4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4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4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4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4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4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4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4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4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4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4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4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4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4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4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4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4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4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4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4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4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4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4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4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4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4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4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4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4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4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4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4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4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4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4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4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4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4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4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4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4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4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4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4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4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4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4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4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4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4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4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4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4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4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4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4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4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4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4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4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4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4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4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4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4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4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4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4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4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4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4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4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4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4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4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4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4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4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4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4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4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4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4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4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4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4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4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4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4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4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4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4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4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4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4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4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4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4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4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4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4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4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4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4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4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4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4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4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4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4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4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4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4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4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4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4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4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4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4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4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4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4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4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4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4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4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4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4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4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4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4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4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4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4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4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4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4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4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4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4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4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4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4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4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4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4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4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4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4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4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4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4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4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4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4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4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4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4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4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4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4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4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4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4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4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4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4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4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4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4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4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4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4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4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4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4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4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4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4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4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4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4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4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4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4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4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4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4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4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4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4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4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4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4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4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4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4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4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4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4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4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4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4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4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4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4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4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4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4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4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4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4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4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4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4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4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4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4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4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4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4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4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4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4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4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4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4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4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4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4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4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4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4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4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4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4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4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4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4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4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4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4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4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4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4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4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4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4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4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4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4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4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4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4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4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4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4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4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4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4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4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4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4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4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4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4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4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4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4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4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4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4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4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4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4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4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4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4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4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4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4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4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4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4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4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4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4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4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4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4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4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4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4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4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4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4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4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4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4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4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4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4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4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4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4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4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4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4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4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4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4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4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4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4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4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4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4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4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4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4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4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4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4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4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4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4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4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4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4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4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4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4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4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4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4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4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4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4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4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4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4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4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4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4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4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4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4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4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4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4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4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4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4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4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4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4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4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4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4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4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4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4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4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4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4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4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4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4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4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4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4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4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4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4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4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4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4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4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4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4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4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4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4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4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4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4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4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4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4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4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4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4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4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4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4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4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4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4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4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4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4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4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4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4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4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4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4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4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4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4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4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4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4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4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4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4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4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4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4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4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4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4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4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4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4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4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4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4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4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4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4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4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4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4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4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4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4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4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4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4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4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4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4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4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4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4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4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4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4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4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4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4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4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4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4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4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4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4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4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4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4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4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4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4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4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4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4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4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4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4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4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4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4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4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4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4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4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4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4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4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4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4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4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4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4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4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4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4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4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4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4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4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4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4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4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4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4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4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4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4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4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4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4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4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4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4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4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4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4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4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4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4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4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4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4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4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4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4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4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4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4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4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4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4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4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4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4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4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4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4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4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4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4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4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4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4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4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4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4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4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4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4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4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4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4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4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4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4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4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4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4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4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4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4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4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4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4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4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4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4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4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4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4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4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4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4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4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4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4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4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4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4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4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4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4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4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4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4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4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4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4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4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4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4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4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4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4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4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4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4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4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4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4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4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4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4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4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4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4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4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4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4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4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4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4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4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4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4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4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4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4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4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4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4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4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4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4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4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4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4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4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4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4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4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4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4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4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4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4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4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4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4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4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4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4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4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4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4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4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4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4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4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4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4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4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4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4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4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4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4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4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4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4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4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4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4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4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4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4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4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4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4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4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4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4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4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4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4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4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4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4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4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4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4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4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4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4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4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4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4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4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4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4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4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4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4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4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4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4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4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4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4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4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4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4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4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4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4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4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4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4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4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4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4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4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4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4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4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4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4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4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4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4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4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4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4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4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4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4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4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4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4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4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4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4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4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4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4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4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4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4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4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4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4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4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4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4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4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4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4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4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4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4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4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4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4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4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4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4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4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4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4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4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4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4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4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4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4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4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4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4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4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4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4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4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4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4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4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4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4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4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4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4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4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4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4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4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4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4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4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4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4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4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4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4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4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4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4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97" zoomScaleNormal="115" workbookViewId="0">
      <selection activeCell="F3" sqref="F3"/>
    </sheetView>
  </sheetViews>
  <sheetFormatPr defaultRowHeight="14.25" x14ac:dyDescent="0.45"/>
  <cols>
    <col min="5" max="5" width="10.86328125" customWidth="1"/>
    <col min="6" max="6" width="23.3984375" customWidth="1"/>
  </cols>
  <sheetData>
    <row r="2" spans="5:6" x14ac:dyDescent="0.45">
      <c r="E2" t="s">
        <v>1040</v>
      </c>
      <c r="F2" t="s">
        <v>1041</v>
      </c>
    </row>
    <row r="3" spans="5:6" ht="25.5" customHeight="1" x14ac:dyDescent="0.45">
      <c r="E3" t="s">
        <v>11</v>
      </c>
    </row>
    <row r="4" spans="5:6" ht="25.5" customHeight="1" x14ac:dyDescent="0.45">
      <c r="E4" t="s">
        <v>9</v>
      </c>
    </row>
    <row r="5" spans="5:6" ht="25.5" customHeight="1" x14ac:dyDescent="0.45">
      <c r="E5" t="s">
        <v>6</v>
      </c>
    </row>
    <row r="6" spans="5:6" ht="25.5" customHeight="1" x14ac:dyDescent="0.45">
      <c r="E6" t="s">
        <v>13</v>
      </c>
    </row>
    <row r="7" spans="5:6" ht="25.5" customHeight="1" x14ac:dyDescent="0.45">
      <c r="E7" t="s">
        <v>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B79E5-27FA-49D5-9AB4-30AC8ABB066D}">
  <dimension ref="A1:AP708"/>
  <sheetViews>
    <sheetView tabSelected="1" zoomScale="61" zoomScaleNormal="60" workbookViewId="0">
      <selection activeCell="O34" sqref="O34"/>
    </sheetView>
  </sheetViews>
  <sheetFormatPr defaultRowHeight="14.25" x14ac:dyDescent="0.45"/>
  <cols>
    <col min="17" max="17" width="11.46484375" customWidth="1"/>
  </cols>
  <sheetData>
    <row r="1" spans="1:32" x14ac:dyDescent="0.4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spans="1:32" ht="21" x14ac:dyDescent="0.65">
      <c r="A2" s="20"/>
      <c r="B2" s="42" t="s">
        <v>1076</v>
      </c>
      <c r="C2" s="42"/>
      <c r="D2" s="42"/>
      <c r="E2" s="43"/>
      <c r="F2" s="20"/>
      <c r="G2" s="20"/>
      <c r="H2" s="20"/>
      <c r="I2" s="20"/>
      <c r="J2" s="20"/>
      <c r="K2" s="20"/>
      <c r="L2" s="20"/>
      <c r="M2" s="20"/>
      <c r="N2" s="20"/>
      <c r="O2" s="20"/>
      <c r="P2" s="20"/>
      <c r="Q2" s="20"/>
      <c r="R2" s="20"/>
      <c r="S2" s="20"/>
      <c r="T2" s="20"/>
      <c r="U2" s="20"/>
      <c r="V2" s="20"/>
      <c r="W2" s="20"/>
      <c r="X2" s="20"/>
      <c r="Y2" s="20"/>
      <c r="Z2" s="20"/>
      <c r="AA2" s="20"/>
      <c r="AB2" s="20"/>
      <c r="AC2" s="20"/>
      <c r="AD2" s="20"/>
      <c r="AE2" s="20"/>
      <c r="AF2" s="20"/>
    </row>
    <row r="3" spans="1:32" x14ac:dyDescent="0.4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row>
    <row r="4" spans="1:32" x14ac:dyDescent="0.4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row>
    <row r="5" spans="1:32" x14ac:dyDescent="0.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row>
    <row r="6" spans="1:32" x14ac:dyDescent="0.4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row>
    <row r="7" spans="1:32" x14ac:dyDescent="0.4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row>
    <row r="8" spans="1:32" x14ac:dyDescent="0.4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x14ac:dyDescent="0.4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row>
    <row r="10" spans="1:32" x14ac:dyDescent="0.4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row>
    <row r="11" spans="1:32" x14ac:dyDescent="0.4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row r="12" spans="1:32" x14ac:dyDescent="0.4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13" spans="1:32" x14ac:dyDescent="0.4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row>
    <row r="14" spans="1:32" x14ac:dyDescent="0.4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row>
    <row r="15" spans="1:32" x14ac:dyDescent="0.4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row>
    <row r="16" spans="1:32" x14ac:dyDescent="0.4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row>
    <row r="17" spans="1:32" x14ac:dyDescent="0.4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row>
    <row r="18" spans="1:32" x14ac:dyDescent="0.4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row>
    <row r="19" spans="1:32" x14ac:dyDescent="0.4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row>
    <row r="20" spans="1:32" x14ac:dyDescent="0.4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row>
    <row r="21" spans="1:32" x14ac:dyDescent="0.4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row>
    <row r="22" spans="1:32" x14ac:dyDescent="0.4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row>
    <row r="23" spans="1:32" x14ac:dyDescent="0.45">
      <c r="A23" s="20"/>
      <c r="B23" s="20"/>
      <c r="C23" s="20"/>
      <c r="D23" s="20"/>
      <c r="E23" s="20"/>
      <c r="F23" s="20"/>
      <c r="G23" s="20"/>
      <c r="H23" s="20"/>
      <c r="I23" s="20"/>
      <c r="J23" s="20"/>
      <c r="K23" s="20"/>
      <c r="L23" s="20"/>
      <c r="M23" s="20"/>
      <c r="N23" s="20"/>
      <c r="O23" s="20"/>
      <c r="P23" s="20"/>
      <c r="Q23" s="32"/>
      <c r="R23" s="38" t="str" cm="1">
        <f t="array" ref="R23:V23">Pivots!B78:F78</f>
        <v>R01</v>
      </c>
      <c r="S23" s="38" t="str">
        <v>R02</v>
      </c>
      <c r="T23" s="38" t="str">
        <v>R03</v>
      </c>
      <c r="U23" s="38" t="str">
        <v>R04</v>
      </c>
      <c r="V23" s="38" t="str">
        <v>R05</v>
      </c>
      <c r="W23" s="41" t="s">
        <v>1075</v>
      </c>
      <c r="X23" s="20"/>
      <c r="Y23" s="20"/>
      <c r="Z23" s="20"/>
      <c r="AA23" s="20"/>
      <c r="AB23" s="20"/>
      <c r="AC23" s="20"/>
      <c r="AD23" s="20"/>
      <c r="AE23" s="20"/>
      <c r="AF23" s="20"/>
    </row>
    <row r="24" spans="1:32" x14ac:dyDescent="0.45">
      <c r="A24" s="20"/>
      <c r="B24" s="20"/>
      <c r="C24" s="20"/>
      <c r="D24" s="20"/>
      <c r="E24" s="20"/>
      <c r="F24" s="20"/>
      <c r="G24" s="20"/>
      <c r="H24" s="20"/>
      <c r="I24" s="20"/>
      <c r="J24" s="20"/>
      <c r="K24" s="20"/>
      <c r="L24" s="20"/>
      <c r="M24" s="20"/>
      <c r="N24" s="20"/>
      <c r="O24" s="20"/>
      <c r="P24" s="20"/>
      <c r="Q24" s="39" t="str" cm="1">
        <f t="array" ref="Q24:W41">IF(Pivots!A79:G96="","",Pivots!A79:G96)</f>
        <v>Cincinnati</v>
      </c>
      <c r="R24" s="27" t="str">
        <v/>
      </c>
      <c r="S24" s="27" t="str">
        <v/>
      </c>
      <c r="T24" s="27" t="str">
        <v/>
      </c>
      <c r="U24" s="27" t="str">
        <v/>
      </c>
      <c r="V24" s="27" t="str">
        <v/>
      </c>
      <c r="W24" s="33" t="str">
        <v/>
      </c>
      <c r="X24" s="20"/>
      <c r="Y24" s="20"/>
      <c r="Z24" s="20"/>
      <c r="AA24" s="20"/>
      <c r="AB24" s="20"/>
      <c r="AC24" s="20"/>
      <c r="AD24" s="20"/>
      <c r="AE24" s="20"/>
      <c r="AF24" s="20"/>
    </row>
    <row r="25" spans="1:32" x14ac:dyDescent="0.45">
      <c r="A25" s="20"/>
      <c r="B25" s="20"/>
      <c r="C25" s="20"/>
      <c r="D25" s="20"/>
      <c r="E25" s="20"/>
      <c r="F25" s="20"/>
      <c r="G25" s="20"/>
      <c r="H25" s="20"/>
      <c r="I25" s="20"/>
      <c r="J25" s="20"/>
      <c r="K25" s="20"/>
      <c r="L25" s="20"/>
      <c r="M25" s="20"/>
      <c r="N25" s="20"/>
      <c r="O25" s="20"/>
      <c r="P25" s="20"/>
      <c r="Q25" s="39" t="str">
        <v>C0003</v>
      </c>
      <c r="R25" s="34">
        <v>891</v>
      </c>
      <c r="S25" s="34">
        <v>1332</v>
      </c>
      <c r="T25" s="34">
        <v>1282</v>
      </c>
      <c r="U25" s="34">
        <v>739</v>
      </c>
      <c r="V25" s="34">
        <v>560</v>
      </c>
      <c r="W25" s="35">
        <v>4804</v>
      </c>
      <c r="X25" s="20"/>
      <c r="Y25" s="20"/>
      <c r="Z25" s="20"/>
      <c r="AA25" s="20"/>
      <c r="AB25" s="20"/>
      <c r="AC25" s="20"/>
      <c r="AD25" s="20"/>
      <c r="AE25" s="20"/>
      <c r="AF25" s="20"/>
    </row>
    <row r="26" spans="1:32" x14ac:dyDescent="0.45">
      <c r="A26" s="20"/>
      <c r="B26" s="20"/>
      <c r="C26" s="20"/>
      <c r="D26" s="20"/>
      <c r="E26" s="20"/>
      <c r="F26" s="20"/>
      <c r="G26" s="20"/>
      <c r="H26" s="20"/>
      <c r="I26" s="20"/>
      <c r="J26" s="20"/>
      <c r="K26" s="20"/>
      <c r="L26" s="20"/>
      <c r="M26" s="20"/>
      <c r="N26" s="20"/>
      <c r="O26" s="20"/>
      <c r="P26" s="20"/>
      <c r="Q26" s="39" t="str">
        <v>C0004</v>
      </c>
      <c r="R26" s="34">
        <v>1991</v>
      </c>
      <c r="S26" s="34">
        <v>1886</v>
      </c>
      <c r="T26" s="34">
        <v>1206</v>
      </c>
      <c r="U26" s="34">
        <v>884</v>
      </c>
      <c r="V26" s="34">
        <v>1722</v>
      </c>
      <c r="W26" s="35">
        <v>7689</v>
      </c>
      <c r="X26" s="20"/>
      <c r="Y26" s="20"/>
      <c r="Z26" s="20"/>
      <c r="AA26" s="20"/>
      <c r="AB26" s="20"/>
      <c r="AC26" s="20"/>
      <c r="AD26" s="20"/>
      <c r="AE26" s="20"/>
      <c r="AF26" s="20"/>
    </row>
    <row r="27" spans="1:32" x14ac:dyDescent="0.45">
      <c r="A27" s="20"/>
      <c r="B27" s="20"/>
      <c r="C27" s="20"/>
      <c r="D27" s="20"/>
      <c r="E27" s="20"/>
      <c r="F27" s="20"/>
      <c r="G27" s="20"/>
      <c r="H27" s="20"/>
      <c r="I27" s="20"/>
      <c r="J27" s="20"/>
      <c r="K27" s="20"/>
      <c r="L27" s="20"/>
      <c r="M27" s="20"/>
      <c r="N27" s="20"/>
      <c r="O27" s="20"/>
      <c r="P27" s="20"/>
      <c r="Q27" s="39" t="str">
        <v>C0011</v>
      </c>
      <c r="R27" s="34">
        <v>1163</v>
      </c>
      <c r="S27" s="34">
        <v>1180</v>
      </c>
      <c r="T27" s="34">
        <v>1616</v>
      </c>
      <c r="U27" s="34">
        <v>1043</v>
      </c>
      <c r="V27" s="34">
        <v>1747</v>
      </c>
      <c r="W27" s="35">
        <v>6749</v>
      </c>
      <c r="X27" s="20"/>
      <c r="Y27" s="20"/>
      <c r="Z27" s="20"/>
      <c r="AA27" s="20"/>
      <c r="AB27" s="20"/>
      <c r="AC27" s="20"/>
      <c r="AD27" s="20"/>
      <c r="AE27" s="20"/>
      <c r="AF27" s="20"/>
    </row>
    <row r="28" spans="1:32" x14ac:dyDescent="0.45">
      <c r="A28" s="20"/>
      <c r="B28" s="20"/>
      <c r="C28" s="20"/>
      <c r="D28" s="20"/>
      <c r="E28" s="20"/>
      <c r="F28" s="20"/>
      <c r="G28" s="20"/>
      <c r="H28" s="20"/>
      <c r="I28" s="20"/>
      <c r="J28" s="20"/>
      <c r="K28" s="20"/>
      <c r="L28" s="20"/>
      <c r="M28" s="20"/>
      <c r="N28" s="20"/>
      <c r="O28" s="20"/>
      <c r="P28" s="20"/>
      <c r="Q28" s="39" t="str">
        <v>C0012</v>
      </c>
      <c r="R28" s="34">
        <v>1438</v>
      </c>
      <c r="S28" s="34">
        <v>1616</v>
      </c>
      <c r="T28" s="34">
        <v>866</v>
      </c>
      <c r="U28" s="34">
        <v>829</v>
      </c>
      <c r="V28" s="34">
        <v>2070</v>
      </c>
      <c r="W28" s="35">
        <v>6819</v>
      </c>
      <c r="X28" s="20"/>
      <c r="Y28" s="20"/>
      <c r="Z28" s="20"/>
      <c r="AA28" s="20"/>
      <c r="AB28" s="20"/>
      <c r="AC28" s="20"/>
      <c r="AD28" s="20"/>
      <c r="AE28" s="20"/>
      <c r="AF28" s="20"/>
    </row>
    <row r="29" spans="1:32" x14ac:dyDescent="0.45">
      <c r="A29" s="20"/>
      <c r="B29" s="20"/>
      <c r="C29" s="20"/>
      <c r="D29" s="20"/>
      <c r="E29" s="20"/>
      <c r="F29" s="20"/>
      <c r="G29" s="20"/>
      <c r="H29" s="20"/>
      <c r="I29" s="20"/>
      <c r="J29" s="20"/>
      <c r="K29" s="20"/>
      <c r="L29" s="20"/>
      <c r="M29" s="20"/>
      <c r="N29" s="20"/>
      <c r="O29" s="20"/>
      <c r="P29" s="20"/>
      <c r="Q29" s="39" t="str">
        <v>Cleveland</v>
      </c>
      <c r="R29" s="34" t="str">
        <v/>
      </c>
      <c r="S29" s="34" t="str">
        <v/>
      </c>
      <c r="T29" s="34" t="str">
        <v/>
      </c>
      <c r="U29" s="34" t="str">
        <v/>
      </c>
      <c r="V29" s="34" t="str">
        <v/>
      </c>
      <c r="W29" s="35" t="str">
        <v/>
      </c>
      <c r="X29" s="20"/>
      <c r="Y29" s="20"/>
      <c r="Z29" s="20"/>
      <c r="AA29" s="20"/>
      <c r="AB29" s="20"/>
      <c r="AC29" s="20"/>
      <c r="AD29" s="20"/>
      <c r="AE29" s="20"/>
      <c r="AF29" s="20"/>
    </row>
    <row r="30" spans="1:32" x14ac:dyDescent="0.45">
      <c r="A30" s="20"/>
      <c r="B30" s="20"/>
      <c r="C30" s="20"/>
      <c r="D30" s="20"/>
      <c r="E30" s="20"/>
      <c r="F30" s="20"/>
      <c r="G30" s="20"/>
      <c r="H30" s="20"/>
      <c r="I30" s="20"/>
      <c r="J30" s="20"/>
      <c r="K30" s="20"/>
      <c r="L30" s="20"/>
      <c r="M30" s="20"/>
      <c r="N30" s="20"/>
      <c r="O30" s="20"/>
      <c r="P30" s="20"/>
      <c r="Q30" s="39" t="str">
        <v>C0002</v>
      </c>
      <c r="R30" s="34">
        <v>1233</v>
      </c>
      <c r="S30" s="34">
        <v>223</v>
      </c>
      <c r="T30" s="34">
        <v>1680</v>
      </c>
      <c r="U30" s="34">
        <v>990</v>
      </c>
      <c r="V30" s="34">
        <v>1508</v>
      </c>
      <c r="W30" s="35">
        <v>5634</v>
      </c>
      <c r="X30" s="20"/>
      <c r="Y30" s="20"/>
      <c r="Z30" s="20"/>
      <c r="AA30" s="20"/>
      <c r="AB30" s="20"/>
      <c r="AC30" s="20"/>
      <c r="AD30" s="20"/>
      <c r="AE30" s="20"/>
      <c r="AF30" s="20"/>
    </row>
    <row r="31" spans="1:32" x14ac:dyDescent="0.45">
      <c r="A31" s="20"/>
      <c r="B31" s="20"/>
      <c r="C31" s="20"/>
      <c r="D31" s="20"/>
      <c r="E31" s="20"/>
      <c r="F31" s="20"/>
      <c r="G31" s="20"/>
      <c r="H31" s="20"/>
      <c r="I31" s="20"/>
      <c r="J31" s="20"/>
      <c r="K31" s="20"/>
      <c r="L31" s="20"/>
      <c r="M31" s="20"/>
      <c r="N31" s="20"/>
      <c r="O31" s="20"/>
      <c r="P31" s="20"/>
      <c r="Q31" s="39" t="str">
        <v>C0007</v>
      </c>
      <c r="R31" s="34">
        <v>1598</v>
      </c>
      <c r="S31" s="34">
        <v>1907</v>
      </c>
      <c r="T31" s="34">
        <v>869</v>
      </c>
      <c r="U31" s="34">
        <v>1426</v>
      </c>
      <c r="V31" s="34">
        <v>1416</v>
      </c>
      <c r="W31" s="35">
        <v>7216</v>
      </c>
      <c r="X31" s="20"/>
      <c r="Y31" s="20"/>
      <c r="Z31" s="20"/>
      <c r="AA31" s="20"/>
      <c r="AB31" s="20"/>
      <c r="AC31" s="20"/>
      <c r="AD31" s="20"/>
      <c r="AE31" s="20"/>
      <c r="AF31" s="20"/>
    </row>
    <row r="32" spans="1:32" x14ac:dyDescent="0.45">
      <c r="A32" s="20"/>
      <c r="B32" s="20"/>
      <c r="C32" s="20"/>
      <c r="D32" s="20"/>
      <c r="E32" s="20"/>
      <c r="F32" s="20"/>
      <c r="G32" s="20"/>
      <c r="H32" s="20"/>
      <c r="I32" s="20"/>
      <c r="J32" s="20"/>
      <c r="K32" s="20"/>
      <c r="L32" s="20"/>
      <c r="M32" s="20"/>
      <c r="N32" s="20"/>
      <c r="O32" s="20"/>
      <c r="P32" s="20"/>
      <c r="Q32" s="39" t="str">
        <v>C0008</v>
      </c>
      <c r="R32" s="34">
        <v>900</v>
      </c>
      <c r="S32" s="34">
        <v>1016</v>
      </c>
      <c r="T32" s="34">
        <v>960</v>
      </c>
      <c r="U32" s="34">
        <v>940</v>
      </c>
      <c r="V32" s="34">
        <v>1193</v>
      </c>
      <c r="W32" s="35">
        <v>5009</v>
      </c>
      <c r="X32" s="20"/>
      <c r="Y32" s="20"/>
      <c r="Z32" s="20"/>
      <c r="AA32" s="20"/>
      <c r="AB32" s="20"/>
      <c r="AC32" s="20"/>
      <c r="AD32" s="20"/>
      <c r="AE32" s="20"/>
      <c r="AF32" s="20"/>
    </row>
    <row r="33" spans="1:42" x14ac:dyDescent="0.45">
      <c r="A33" s="20"/>
      <c r="B33" s="20"/>
      <c r="C33" s="20"/>
      <c r="D33" s="20"/>
      <c r="E33" s="20"/>
      <c r="F33" s="20"/>
      <c r="G33" s="20"/>
      <c r="H33" s="20"/>
      <c r="I33" s="20"/>
      <c r="J33" s="20"/>
      <c r="K33" s="20"/>
      <c r="L33" s="20"/>
      <c r="M33" s="20"/>
      <c r="N33" s="20"/>
      <c r="O33" s="20"/>
      <c r="P33" s="20"/>
      <c r="Q33" s="39" t="str">
        <v>C0010</v>
      </c>
      <c r="R33" s="34">
        <v>900</v>
      </c>
      <c r="S33" s="34">
        <v>1470</v>
      </c>
      <c r="T33" s="34">
        <v>1617</v>
      </c>
      <c r="U33" s="34">
        <v>1314</v>
      </c>
      <c r="V33" s="34">
        <v>941</v>
      </c>
      <c r="W33" s="35">
        <v>6242</v>
      </c>
      <c r="X33" s="20"/>
      <c r="Y33" s="20"/>
      <c r="Z33" s="20"/>
      <c r="AA33" s="20"/>
      <c r="AB33" s="20"/>
      <c r="AC33" s="20"/>
      <c r="AD33" s="20"/>
      <c r="AE33" s="20"/>
      <c r="AF33" s="20"/>
    </row>
    <row r="34" spans="1:42" x14ac:dyDescent="0.45">
      <c r="A34" s="20"/>
      <c r="B34" s="20"/>
      <c r="C34" s="20"/>
      <c r="D34" s="20"/>
      <c r="E34" s="20"/>
      <c r="F34" s="20"/>
      <c r="G34" s="20"/>
      <c r="H34" s="20"/>
      <c r="I34" s="20"/>
      <c r="J34" s="20"/>
      <c r="K34" s="20"/>
      <c r="L34" s="20"/>
      <c r="M34" s="20"/>
      <c r="N34" s="20"/>
      <c r="O34" s="20"/>
      <c r="P34" s="20"/>
      <c r="Q34" s="39" t="str">
        <v>C0013</v>
      </c>
      <c r="R34" s="34">
        <v>1255</v>
      </c>
      <c r="S34" s="34">
        <v>516</v>
      </c>
      <c r="T34" s="34">
        <v>1874</v>
      </c>
      <c r="U34" s="34">
        <v>1863</v>
      </c>
      <c r="V34" s="34">
        <v>1722</v>
      </c>
      <c r="W34" s="35">
        <v>7230</v>
      </c>
      <c r="X34" s="20"/>
      <c r="Y34" s="20"/>
      <c r="Z34" s="20"/>
      <c r="AA34" s="20"/>
      <c r="AB34" s="20"/>
      <c r="AC34" s="20"/>
      <c r="AD34" s="20"/>
      <c r="AE34" s="20"/>
      <c r="AF34" s="20"/>
    </row>
    <row r="35" spans="1:42" x14ac:dyDescent="0.45">
      <c r="A35" s="20"/>
      <c r="B35" s="20"/>
      <c r="C35" s="20"/>
      <c r="D35" s="20"/>
      <c r="E35" s="20"/>
      <c r="F35" s="20"/>
      <c r="G35" s="20"/>
      <c r="H35" s="20"/>
      <c r="I35" s="20"/>
      <c r="J35" s="20"/>
      <c r="K35" s="20"/>
      <c r="L35" s="20"/>
      <c r="M35" s="20"/>
      <c r="N35" s="20"/>
      <c r="O35" s="20"/>
      <c r="P35" s="20"/>
      <c r="Q35" s="39" t="str">
        <v>C0015</v>
      </c>
      <c r="R35" s="34">
        <v>1138</v>
      </c>
      <c r="S35" s="34">
        <v>1898</v>
      </c>
      <c r="T35" s="34">
        <v>1482</v>
      </c>
      <c r="U35" s="34">
        <v>846</v>
      </c>
      <c r="V35" s="34">
        <v>1154</v>
      </c>
      <c r="W35" s="35">
        <v>6518</v>
      </c>
      <c r="X35" s="20"/>
      <c r="Y35" s="20"/>
      <c r="Z35" s="20"/>
      <c r="AA35" s="20"/>
      <c r="AB35" s="20"/>
      <c r="AC35" s="20"/>
      <c r="AD35" s="20"/>
      <c r="AE35" s="20"/>
      <c r="AF35" s="20"/>
    </row>
    <row r="36" spans="1:42" x14ac:dyDescent="0.45">
      <c r="A36" s="20"/>
      <c r="B36" s="20"/>
      <c r="C36" s="20"/>
      <c r="D36" s="20"/>
      <c r="E36" s="20"/>
      <c r="F36" s="20"/>
      <c r="G36" s="20"/>
      <c r="H36" s="20"/>
      <c r="I36" s="20"/>
      <c r="J36" s="20"/>
      <c r="K36" s="20"/>
      <c r="L36" s="20"/>
      <c r="M36" s="20"/>
      <c r="N36" s="20"/>
      <c r="O36" s="20"/>
      <c r="P36" s="20"/>
      <c r="Q36" s="39" t="str">
        <v>Columbus</v>
      </c>
      <c r="R36" s="34" t="str">
        <v/>
      </c>
      <c r="S36" s="34" t="str">
        <v/>
      </c>
      <c r="T36" s="34" t="str">
        <v/>
      </c>
      <c r="U36" s="34" t="str">
        <v/>
      </c>
      <c r="V36" s="34" t="str">
        <v/>
      </c>
      <c r="W36" s="35" t="str">
        <v/>
      </c>
      <c r="X36" s="20"/>
      <c r="Y36" s="20"/>
      <c r="Z36" s="20"/>
      <c r="AA36" s="20"/>
      <c r="AB36" s="20"/>
      <c r="AC36" s="20"/>
      <c r="AD36" s="20"/>
      <c r="AE36" s="20"/>
      <c r="AF36" s="20"/>
    </row>
    <row r="37" spans="1:42" x14ac:dyDescent="0.45">
      <c r="A37" s="20"/>
      <c r="B37" s="20"/>
      <c r="C37" s="20"/>
      <c r="D37" s="20"/>
      <c r="E37" s="20"/>
      <c r="F37" s="20"/>
      <c r="G37" s="20"/>
      <c r="H37" s="20"/>
      <c r="I37" s="20"/>
      <c r="J37" s="20"/>
      <c r="K37" s="20"/>
      <c r="L37" s="20"/>
      <c r="M37" s="20"/>
      <c r="N37" s="20"/>
      <c r="O37" s="20"/>
      <c r="P37" s="20"/>
      <c r="Q37" s="39" t="str">
        <v>C0001</v>
      </c>
      <c r="R37" s="34">
        <v>1655</v>
      </c>
      <c r="S37" s="34">
        <v>805</v>
      </c>
      <c r="T37" s="34">
        <v>2263</v>
      </c>
      <c r="U37" s="34">
        <v>987</v>
      </c>
      <c r="V37" s="34">
        <v>1075</v>
      </c>
      <c r="W37" s="35">
        <v>6785</v>
      </c>
      <c r="X37" s="20"/>
      <c r="Y37" s="20"/>
      <c r="Z37" s="20"/>
      <c r="AA37" s="20"/>
      <c r="AB37" s="20"/>
      <c r="AC37" s="20"/>
      <c r="AD37" s="20"/>
      <c r="AE37" s="20"/>
      <c r="AF37" s="20"/>
    </row>
    <row r="38" spans="1:42" x14ac:dyDescent="0.45">
      <c r="A38" s="20"/>
      <c r="B38" s="20"/>
      <c r="C38" s="20"/>
      <c r="D38" s="20"/>
      <c r="E38" s="20"/>
      <c r="F38" s="20"/>
      <c r="G38" s="20"/>
      <c r="H38" s="20"/>
      <c r="I38" s="20"/>
      <c r="J38" s="20"/>
      <c r="K38" s="20"/>
      <c r="L38" s="20"/>
      <c r="M38" s="20"/>
      <c r="N38" s="20"/>
      <c r="O38" s="20"/>
      <c r="P38" s="20"/>
      <c r="Q38" s="39" t="str">
        <v>C0005</v>
      </c>
      <c r="R38" s="34">
        <v>1104</v>
      </c>
      <c r="S38" s="34">
        <v>2280</v>
      </c>
      <c r="T38" s="34">
        <v>1445</v>
      </c>
      <c r="U38" s="34">
        <v>1722</v>
      </c>
      <c r="V38" s="34">
        <v>1196</v>
      </c>
      <c r="W38" s="35">
        <v>7747</v>
      </c>
      <c r="X38" s="20"/>
      <c r="Y38" s="20"/>
      <c r="Z38" s="20"/>
      <c r="AA38" s="20"/>
      <c r="AB38" s="20"/>
      <c r="AC38" s="20"/>
      <c r="AD38" s="20"/>
      <c r="AE38" s="20"/>
      <c r="AF38" s="20"/>
    </row>
    <row r="39" spans="1:42" x14ac:dyDescent="0.45">
      <c r="A39" s="20"/>
      <c r="B39" s="20"/>
      <c r="C39" s="20"/>
      <c r="D39" s="20"/>
      <c r="E39" s="20"/>
      <c r="F39" s="20"/>
      <c r="G39" s="20"/>
      <c r="H39" s="20"/>
      <c r="I39" s="20"/>
      <c r="J39" s="20"/>
      <c r="K39" s="20"/>
      <c r="L39" s="20"/>
      <c r="M39" s="20"/>
      <c r="N39" s="20"/>
      <c r="O39" s="20"/>
      <c r="P39" s="20"/>
      <c r="Q39" s="39" t="str">
        <v>C0006</v>
      </c>
      <c r="R39" s="34">
        <v>372</v>
      </c>
      <c r="S39" s="34">
        <v>1818</v>
      </c>
      <c r="T39" s="34">
        <v>1346</v>
      </c>
      <c r="U39" s="34">
        <v>1156</v>
      </c>
      <c r="V39" s="34">
        <v>1484</v>
      </c>
      <c r="W39" s="35">
        <v>6176</v>
      </c>
      <c r="X39" s="20"/>
      <c r="Y39" s="20"/>
      <c r="Z39" s="20"/>
      <c r="AA39" s="20"/>
      <c r="AB39" s="20"/>
      <c r="AC39" s="20"/>
      <c r="AD39" s="20"/>
      <c r="AE39" s="20"/>
      <c r="AF39" s="20"/>
    </row>
    <row r="40" spans="1:42" x14ac:dyDescent="0.45">
      <c r="A40" s="20"/>
      <c r="B40" s="20"/>
      <c r="C40" s="20"/>
      <c r="D40" s="20"/>
      <c r="E40" s="20"/>
      <c r="F40" s="20"/>
      <c r="G40" s="20"/>
      <c r="H40" s="20"/>
      <c r="I40" s="20"/>
      <c r="J40" s="20"/>
      <c r="K40" s="20"/>
      <c r="L40" s="20"/>
      <c r="M40" s="20"/>
      <c r="N40" s="20"/>
      <c r="O40" s="20"/>
      <c r="P40" s="20"/>
      <c r="Q40" s="39" t="str">
        <v>C0009</v>
      </c>
      <c r="R40" s="34">
        <v>1415</v>
      </c>
      <c r="S40" s="34">
        <v>1271</v>
      </c>
      <c r="T40" s="34">
        <v>1214</v>
      </c>
      <c r="U40" s="34">
        <v>1135</v>
      </c>
      <c r="V40" s="34">
        <v>1566</v>
      </c>
      <c r="W40" s="35">
        <v>6601</v>
      </c>
      <c r="X40" s="20"/>
      <c r="Y40" s="20"/>
      <c r="Z40" s="20"/>
      <c r="AA40" s="20"/>
      <c r="AB40" s="20"/>
      <c r="AC40" s="20"/>
      <c r="AD40" s="20"/>
      <c r="AE40" s="20"/>
      <c r="AF40" s="20"/>
    </row>
    <row r="41" spans="1:42" x14ac:dyDescent="0.45">
      <c r="A41" s="20"/>
      <c r="B41" s="20"/>
      <c r="C41" s="20"/>
      <c r="D41" s="20"/>
      <c r="E41" s="20"/>
      <c r="F41" s="20"/>
      <c r="G41" s="20"/>
      <c r="H41" s="20"/>
      <c r="I41" s="20"/>
      <c r="J41" s="20"/>
      <c r="K41" s="20"/>
      <c r="L41" s="20"/>
      <c r="M41" s="20"/>
      <c r="N41" s="20"/>
      <c r="O41" s="20"/>
      <c r="P41" s="20"/>
      <c r="Q41" s="40" t="str">
        <v>C0014</v>
      </c>
      <c r="R41" s="36">
        <v>1362</v>
      </c>
      <c r="S41" s="36">
        <v>1363</v>
      </c>
      <c r="T41" s="36">
        <v>1152</v>
      </c>
      <c r="U41" s="36">
        <v>777</v>
      </c>
      <c r="V41" s="36">
        <v>750</v>
      </c>
      <c r="W41" s="37">
        <v>5404</v>
      </c>
      <c r="X41" s="20"/>
      <c r="Y41" s="20"/>
      <c r="Z41" s="20"/>
      <c r="AA41" s="20"/>
      <c r="AB41" s="20"/>
      <c r="AC41" s="20"/>
      <c r="AD41" s="20"/>
      <c r="AE41" s="20"/>
      <c r="AF41" s="20"/>
    </row>
    <row r="42" spans="1:42" x14ac:dyDescent="0.4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row>
    <row r="43" spans="1:42" x14ac:dyDescent="0.4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row>
    <row r="44" spans="1:42" x14ac:dyDescent="0.4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row>
    <row r="45" spans="1:42" x14ac:dyDescent="0.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row>
    <row r="46" spans="1:42" x14ac:dyDescent="0.4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J46" s="29"/>
      <c r="AK46" s="30"/>
      <c r="AL46" s="30"/>
      <c r="AM46" s="30"/>
      <c r="AN46" s="30"/>
      <c r="AO46" s="30"/>
      <c r="AP46" s="30"/>
    </row>
    <row r="47" spans="1:42" x14ac:dyDescent="0.4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J47" s="28"/>
      <c r="AK47" s="21"/>
      <c r="AL47" s="21"/>
      <c r="AM47" s="21"/>
      <c r="AN47" s="21"/>
      <c r="AO47" s="21"/>
      <c r="AP47" s="21"/>
    </row>
    <row r="48" spans="1:42" x14ac:dyDescent="0.45">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J48" s="28"/>
      <c r="AK48" s="21"/>
      <c r="AL48" s="21"/>
      <c r="AM48" s="21"/>
      <c r="AN48" s="21"/>
      <c r="AO48" s="21"/>
      <c r="AP48" s="21"/>
    </row>
    <row r="49" spans="1:42" x14ac:dyDescent="0.4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J49" s="28"/>
      <c r="AK49" s="21"/>
      <c r="AL49" s="21"/>
      <c r="AM49" s="21"/>
      <c r="AN49" s="21"/>
      <c r="AO49" s="21"/>
      <c r="AP49" s="21"/>
    </row>
    <row r="50" spans="1:42" x14ac:dyDescent="0.45">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8"/>
      <c r="AK50" s="21"/>
      <c r="AL50" s="21"/>
      <c r="AM50" s="21"/>
      <c r="AN50" s="21"/>
      <c r="AO50" s="21"/>
      <c r="AP50" s="21"/>
    </row>
    <row r="51" spans="1:42" x14ac:dyDescent="0.45">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9"/>
      <c r="AK51" s="30"/>
      <c r="AL51" s="30"/>
      <c r="AM51" s="30"/>
      <c r="AN51" s="30"/>
      <c r="AO51" s="30"/>
      <c r="AP51" s="30"/>
    </row>
    <row r="52" spans="1:42" x14ac:dyDescent="0.45">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8"/>
      <c r="AK52" s="21"/>
      <c r="AL52" s="21"/>
      <c r="AM52" s="21"/>
      <c r="AN52" s="21"/>
      <c r="AO52" s="21"/>
      <c r="AP52" s="21"/>
    </row>
    <row r="53" spans="1:42" x14ac:dyDescent="0.4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J53" s="28"/>
      <c r="AK53" s="21"/>
      <c r="AL53" s="21"/>
      <c r="AM53" s="21"/>
      <c r="AN53" s="21"/>
      <c r="AO53" s="21"/>
      <c r="AP53" s="21"/>
    </row>
    <row r="54" spans="1:42" x14ac:dyDescent="0.4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J54" s="28"/>
      <c r="AK54" s="21"/>
      <c r="AL54" s="21"/>
      <c r="AM54" s="21"/>
      <c r="AN54" s="21"/>
      <c r="AO54" s="21"/>
      <c r="AP54" s="21"/>
    </row>
    <row r="55" spans="1:42" x14ac:dyDescent="0.4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J55" s="28"/>
      <c r="AK55" s="21"/>
      <c r="AL55" s="21"/>
      <c r="AM55" s="21"/>
      <c r="AN55" s="21"/>
      <c r="AO55" s="21"/>
      <c r="AP55" s="21"/>
    </row>
    <row r="56" spans="1:42" x14ac:dyDescent="0.4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J56" s="28"/>
      <c r="AK56" s="21"/>
      <c r="AL56" s="21"/>
      <c r="AM56" s="21"/>
      <c r="AN56" s="21"/>
      <c r="AO56" s="21"/>
      <c r="AP56" s="21"/>
    </row>
    <row r="57" spans="1:42" x14ac:dyDescent="0.4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J57" s="28"/>
      <c r="AK57" s="21"/>
      <c r="AL57" s="21"/>
      <c r="AM57" s="21"/>
      <c r="AN57" s="21"/>
      <c r="AO57" s="21"/>
      <c r="AP57" s="21"/>
    </row>
    <row r="58" spans="1:42" x14ac:dyDescent="0.4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J58" s="29"/>
      <c r="AK58" s="30"/>
      <c r="AL58" s="30"/>
      <c r="AM58" s="30"/>
      <c r="AN58" s="30"/>
      <c r="AO58" s="30"/>
      <c r="AP58" s="30"/>
    </row>
    <row r="59" spans="1:42" x14ac:dyDescent="0.4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J59" s="28"/>
      <c r="AK59" s="21"/>
      <c r="AL59" s="21"/>
      <c r="AM59" s="21"/>
      <c r="AN59" s="21"/>
      <c r="AO59" s="21"/>
      <c r="AP59" s="21"/>
    </row>
    <row r="60" spans="1:42" x14ac:dyDescent="0.4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J60" s="28"/>
      <c r="AK60" s="21"/>
      <c r="AL60" s="21"/>
      <c r="AM60" s="21"/>
      <c r="AN60" s="21"/>
      <c r="AO60" s="21"/>
      <c r="AP60" s="21"/>
    </row>
    <row r="61" spans="1:42" x14ac:dyDescent="0.4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J61" s="28"/>
      <c r="AK61" s="21"/>
      <c r="AL61" s="21"/>
      <c r="AM61" s="21"/>
      <c r="AN61" s="21"/>
      <c r="AO61" s="21"/>
      <c r="AP61" s="21"/>
    </row>
    <row r="62" spans="1:42" x14ac:dyDescent="0.4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J62" s="28"/>
      <c r="AK62" s="21"/>
      <c r="AL62" s="21"/>
      <c r="AM62" s="21"/>
      <c r="AN62" s="21"/>
      <c r="AO62" s="21"/>
      <c r="AP62" s="21"/>
    </row>
    <row r="63" spans="1:42" x14ac:dyDescent="0.4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J63" s="28"/>
      <c r="AK63" s="21"/>
      <c r="AL63" s="21"/>
      <c r="AM63" s="21"/>
      <c r="AN63" s="21"/>
      <c r="AO63" s="21"/>
      <c r="AP63" s="21"/>
    </row>
    <row r="64" spans="1:42" x14ac:dyDescent="0.4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row>
    <row r="65" spans="1:34" x14ac:dyDescent="0.4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row>
    <row r="66" spans="1:34" x14ac:dyDescent="0.4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row>
    <row r="67" spans="1:34" x14ac:dyDescent="0.4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row>
    <row r="68" spans="1:34" x14ac:dyDescent="0.4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row>
    <row r="69" spans="1:34" x14ac:dyDescent="0.4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row>
    <row r="70" spans="1:34" x14ac:dyDescent="0.4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row>
    <row r="71" spans="1:34" x14ac:dyDescent="0.4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row>
    <row r="72" spans="1:34" x14ac:dyDescent="0.4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row>
    <row r="73" spans="1:34" x14ac:dyDescent="0.4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row>
    <row r="74" spans="1:34" x14ac:dyDescent="0.4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row>
    <row r="75" spans="1:34" x14ac:dyDescent="0.4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row>
    <row r="76" spans="1:34" x14ac:dyDescent="0.4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row>
    <row r="77" spans="1:34" x14ac:dyDescent="0.4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row>
    <row r="78" spans="1:34" x14ac:dyDescent="0.4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row>
    <row r="79" spans="1:34" x14ac:dyDescent="0.4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row>
    <row r="80" spans="1:34" x14ac:dyDescent="0.4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row>
    <row r="81" spans="1:34" x14ac:dyDescent="0.4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row>
    <row r="82" spans="1:34" x14ac:dyDescent="0.4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row>
    <row r="83" spans="1:34" x14ac:dyDescent="0.4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row>
    <row r="84" spans="1:34" x14ac:dyDescent="0.4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row>
    <row r="85" spans="1:34" x14ac:dyDescent="0.4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row>
    <row r="86" spans="1:34" x14ac:dyDescent="0.4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row>
    <row r="87" spans="1:34" x14ac:dyDescent="0.4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row>
    <row r="88" spans="1:34" x14ac:dyDescent="0.4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row>
    <row r="89" spans="1:34" x14ac:dyDescent="0.4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row>
    <row r="90" spans="1:34" x14ac:dyDescent="0.4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row>
    <row r="91" spans="1:34" x14ac:dyDescent="0.4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row>
    <row r="92" spans="1:34" x14ac:dyDescent="0.4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row>
    <row r="93" spans="1:34" x14ac:dyDescent="0.4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row>
    <row r="94" spans="1:34" x14ac:dyDescent="0.4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row>
    <row r="95" spans="1:34" x14ac:dyDescent="0.4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row>
    <row r="96" spans="1:34" x14ac:dyDescent="0.4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row>
    <row r="97" spans="1:34" x14ac:dyDescent="0.4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row>
    <row r="98" spans="1:34" x14ac:dyDescent="0.4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row>
    <row r="99" spans="1:34" x14ac:dyDescent="0.4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row>
    <row r="100" spans="1:34" x14ac:dyDescent="0.4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row>
    <row r="101" spans="1:34" x14ac:dyDescent="0.4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row>
    <row r="102" spans="1:34" x14ac:dyDescent="0.4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row>
    <row r="103" spans="1:34" x14ac:dyDescent="0.4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row>
    <row r="104" spans="1:34" x14ac:dyDescent="0.4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row>
    <row r="105" spans="1:34" x14ac:dyDescent="0.4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row>
    <row r="106" spans="1:34" x14ac:dyDescent="0.4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row>
    <row r="107" spans="1:34" x14ac:dyDescent="0.4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row>
    <row r="108" spans="1:34" x14ac:dyDescent="0.4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row>
    <row r="109" spans="1:34" x14ac:dyDescent="0.4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row>
    <row r="110" spans="1:34" x14ac:dyDescent="0.4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row>
    <row r="111" spans="1:34" x14ac:dyDescent="0.4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row>
    <row r="112" spans="1:34" x14ac:dyDescent="0.4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row>
    <row r="113" spans="1:34" x14ac:dyDescent="0.4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row>
    <row r="114" spans="1:34" x14ac:dyDescent="0.4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row>
    <row r="115" spans="1:34" x14ac:dyDescent="0.4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row>
    <row r="116" spans="1:34" x14ac:dyDescent="0.4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row>
    <row r="117" spans="1:34" x14ac:dyDescent="0.4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row>
    <row r="118" spans="1:34" x14ac:dyDescent="0.4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row>
    <row r="119" spans="1:34" x14ac:dyDescent="0.4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row>
    <row r="120" spans="1:34" x14ac:dyDescent="0.4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row>
    <row r="121" spans="1:34" x14ac:dyDescent="0.4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row>
    <row r="122" spans="1:34" x14ac:dyDescent="0.4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row>
    <row r="123" spans="1:34" x14ac:dyDescent="0.4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row>
    <row r="124" spans="1:34" x14ac:dyDescent="0.4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row>
    <row r="125" spans="1:34" x14ac:dyDescent="0.4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row>
    <row r="126" spans="1:34" x14ac:dyDescent="0.4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row>
    <row r="127" spans="1:34" x14ac:dyDescent="0.4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row>
    <row r="128" spans="1:34" x14ac:dyDescent="0.4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row>
    <row r="129" spans="1:34" x14ac:dyDescent="0.4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row>
    <row r="130" spans="1:34" x14ac:dyDescent="0.4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row>
    <row r="131" spans="1:34" x14ac:dyDescent="0.4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row>
    <row r="132" spans="1:34" x14ac:dyDescent="0.4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row>
    <row r="133" spans="1:34" x14ac:dyDescent="0.4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row>
    <row r="134" spans="1:34" x14ac:dyDescent="0.4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row>
    <row r="135" spans="1:34" x14ac:dyDescent="0.4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row>
    <row r="136" spans="1:34" x14ac:dyDescent="0.4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row>
    <row r="137" spans="1:34" x14ac:dyDescent="0.4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row>
    <row r="138" spans="1:34" x14ac:dyDescent="0.4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row>
    <row r="139" spans="1:34" x14ac:dyDescent="0.4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row>
    <row r="140" spans="1:34" x14ac:dyDescent="0.4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row>
    <row r="141" spans="1:34" x14ac:dyDescent="0.4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row>
    <row r="142" spans="1:34" x14ac:dyDescent="0.4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row>
    <row r="143" spans="1:34" x14ac:dyDescent="0.4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row>
    <row r="144" spans="1:34" x14ac:dyDescent="0.4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row>
    <row r="145" spans="1:39" x14ac:dyDescent="0.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row>
    <row r="146" spans="1:39" x14ac:dyDescent="0.4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row>
    <row r="147" spans="1:39" x14ac:dyDescent="0.4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row>
    <row r="148" spans="1:39" x14ac:dyDescent="0.4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row>
    <row r="149" spans="1:39" x14ac:dyDescent="0.4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row>
    <row r="150" spans="1:39" x14ac:dyDescent="0.4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row>
    <row r="151" spans="1:39" x14ac:dyDescent="0.4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row>
    <row r="152" spans="1:39" x14ac:dyDescent="0.4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row>
    <row r="153" spans="1:39" x14ac:dyDescent="0.4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row>
    <row r="154" spans="1:39" x14ac:dyDescent="0.4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row>
    <row r="155" spans="1:39" x14ac:dyDescent="0.4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row>
    <row r="156" spans="1:39" x14ac:dyDescent="0.4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row>
    <row r="157" spans="1:39" x14ac:dyDescent="0.4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row>
    <row r="158" spans="1:39" x14ac:dyDescent="0.4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row>
    <row r="159" spans="1:39" x14ac:dyDescent="0.4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row>
    <row r="160" spans="1:39" x14ac:dyDescent="0.4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row>
    <row r="161" spans="1:39" x14ac:dyDescent="0.4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row>
    <row r="162" spans="1:39" x14ac:dyDescent="0.4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row>
    <row r="163" spans="1:39" x14ac:dyDescent="0.4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row>
    <row r="164" spans="1:39" x14ac:dyDescent="0.4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row>
    <row r="165" spans="1:39" x14ac:dyDescent="0.4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row>
    <row r="166" spans="1:39" x14ac:dyDescent="0.4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row>
    <row r="167" spans="1:39" x14ac:dyDescent="0.4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row>
    <row r="168" spans="1:39" x14ac:dyDescent="0.4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row>
    <row r="169" spans="1:39" x14ac:dyDescent="0.4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row>
    <row r="170" spans="1:39" x14ac:dyDescent="0.4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row>
    <row r="171" spans="1:39" x14ac:dyDescent="0.4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row>
    <row r="172" spans="1:39" x14ac:dyDescent="0.4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row>
    <row r="173" spans="1:39" x14ac:dyDescent="0.4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row>
    <row r="174" spans="1:39" x14ac:dyDescent="0.4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row>
    <row r="175" spans="1:39" x14ac:dyDescent="0.4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row>
    <row r="176" spans="1:39" x14ac:dyDescent="0.4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row>
    <row r="177" spans="1:39" x14ac:dyDescent="0.4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row>
    <row r="178" spans="1:39" x14ac:dyDescent="0.4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row>
    <row r="179" spans="1:39" x14ac:dyDescent="0.4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row>
    <row r="180" spans="1:39" x14ac:dyDescent="0.4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row>
    <row r="181" spans="1:39" x14ac:dyDescent="0.4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row>
    <row r="182" spans="1:39" x14ac:dyDescent="0.4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row>
    <row r="183" spans="1:39" x14ac:dyDescent="0.4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row>
    <row r="184" spans="1:39" x14ac:dyDescent="0.4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row>
    <row r="185" spans="1:39" x14ac:dyDescent="0.4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row>
    <row r="186" spans="1:39" x14ac:dyDescent="0.4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row>
    <row r="187" spans="1:39" x14ac:dyDescent="0.4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row>
    <row r="188" spans="1:39" x14ac:dyDescent="0.4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row>
    <row r="189" spans="1:39" x14ac:dyDescent="0.4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row>
    <row r="190" spans="1:39" x14ac:dyDescent="0.4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row>
    <row r="191" spans="1:39" x14ac:dyDescent="0.4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row>
    <row r="192" spans="1:39" x14ac:dyDescent="0.4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row>
    <row r="193" spans="1:41" x14ac:dyDescent="0.4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row>
    <row r="194" spans="1:41" x14ac:dyDescent="0.4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row>
    <row r="195" spans="1:41" x14ac:dyDescent="0.4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row>
    <row r="196" spans="1:41" x14ac:dyDescent="0.4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row>
    <row r="197" spans="1:41" x14ac:dyDescent="0.4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row>
    <row r="198" spans="1:41" x14ac:dyDescent="0.4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row>
    <row r="199" spans="1:41" x14ac:dyDescent="0.4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row>
    <row r="200" spans="1:41" x14ac:dyDescent="0.4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row>
    <row r="201" spans="1:41" x14ac:dyDescent="0.4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row>
    <row r="202" spans="1:41" x14ac:dyDescent="0.4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row>
    <row r="203" spans="1:41" x14ac:dyDescent="0.4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row>
    <row r="204" spans="1:41" x14ac:dyDescent="0.4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row>
    <row r="205" spans="1:41" x14ac:dyDescent="0.4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row>
    <row r="206" spans="1:41" x14ac:dyDescent="0.4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row>
    <row r="207" spans="1:41" x14ac:dyDescent="0.4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row>
    <row r="208" spans="1:41" x14ac:dyDescent="0.4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row>
    <row r="209" spans="1:41" x14ac:dyDescent="0.4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row>
    <row r="210" spans="1:41" x14ac:dyDescent="0.4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row>
    <row r="211" spans="1:41" x14ac:dyDescent="0.4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row>
    <row r="212" spans="1:41" x14ac:dyDescent="0.4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row>
    <row r="213" spans="1:41" x14ac:dyDescent="0.4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row>
    <row r="214" spans="1:41" x14ac:dyDescent="0.4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row>
    <row r="215" spans="1:41" x14ac:dyDescent="0.4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row>
    <row r="216" spans="1:41" x14ac:dyDescent="0.4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row>
    <row r="217" spans="1:41" x14ac:dyDescent="0.4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row>
    <row r="218" spans="1:41" x14ac:dyDescent="0.4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row>
    <row r="219" spans="1:41" x14ac:dyDescent="0.4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row>
    <row r="220" spans="1:41" x14ac:dyDescent="0.4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row>
    <row r="221" spans="1:41" x14ac:dyDescent="0.4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row>
    <row r="222" spans="1:41" x14ac:dyDescent="0.4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row>
    <row r="223" spans="1:41" x14ac:dyDescent="0.4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row>
    <row r="224" spans="1:41" x14ac:dyDescent="0.4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row>
    <row r="225" spans="1:41" x14ac:dyDescent="0.4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row>
    <row r="226" spans="1:41" x14ac:dyDescent="0.4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c r="AN226" s="27"/>
      <c r="AO226" s="27"/>
    </row>
    <row r="227" spans="1:41" x14ac:dyDescent="0.4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row>
    <row r="228" spans="1:41" x14ac:dyDescent="0.4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row>
    <row r="229" spans="1:41" x14ac:dyDescent="0.4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row>
    <row r="230" spans="1:41" x14ac:dyDescent="0.4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row>
    <row r="231" spans="1:41" x14ac:dyDescent="0.4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row>
    <row r="232" spans="1:41" x14ac:dyDescent="0.4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row>
    <row r="233" spans="1:41" x14ac:dyDescent="0.4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row>
    <row r="234" spans="1:41" x14ac:dyDescent="0.4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row>
    <row r="235" spans="1:41" x14ac:dyDescent="0.4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row>
    <row r="236" spans="1:41" x14ac:dyDescent="0.4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row>
    <row r="237" spans="1:41" x14ac:dyDescent="0.4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row>
    <row r="238" spans="1:41" x14ac:dyDescent="0.4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row>
    <row r="239" spans="1:41" x14ac:dyDescent="0.4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row>
    <row r="240" spans="1:41" x14ac:dyDescent="0.4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row>
    <row r="241" spans="1:41" x14ac:dyDescent="0.4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row>
    <row r="242" spans="1:41" x14ac:dyDescent="0.4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row>
    <row r="243" spans="1:41" x14ac:dyDescent="0.4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row>
    <row r="244" spans="1:41" x14ac:dyDescent="0.4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row>
    <row r="245" spans="1:41" x14ac:dyDescent="0.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row>
    <row r="246" spans="1:41" x14ac:dyDescent="0.4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row>
    <row r="247" spans="1:41" x14ac:dyDescent="0.4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row>
    <row r="248" spans="1:41" x14ac:dyDescent="0.4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row>
    <row r="249" spans="1:41" x14ac:dyDescent="0.4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row>
    <row r="250" spans="1:41" x14ac:dyDescent="0.4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row>
    <row r="251" spans="1:41" x14ac:dyDescent="0.4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row>
    <row r="252" spans="1:41" x14ac:dyDescent="0.4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row>
    <row r="253" spans="1:41" x14ac:dyDescent="0.4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row>
    <row r="254" spans="1:41" x14ac:dyDescent="0.4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row>
    <row r="255" spans="1:41" x14ac:dyDescent="0.4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row>
    <row r="256" spans="1:41" x14ac:dyDescent="0.4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row>
    <row r="257" spans="1:41" x14ac:dyDescent="0.4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row>
    <row r="258" spans="1:41" x14ac:dyDescent="0.4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row>
    <row r="259" spans="1:41" x14ac:dyDescent="0.4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row>
    <row r="260" spans="1:41" x14ac:dyDescent="0.4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row>
    <row r="261" spans="1:41" x14ac:dyDescent="0.4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row>
    <row r="262" spans="1:41" x14ac:dyDescent="0.4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row>
    <row r="263" spans="1:41" x14ac:dyDescent="0.4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row>
    <row r="264" spans="1:41" x14ac:dyDescent="0.4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row>
    <row r="265" spans="1:41" x14ac:dyDescent="0.4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row>
    <row r="266" spans="1:41" x14ac:dyDescent="0.4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row>
    <row r="267" spans="1:41" x14ac:dyDescent="0.4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row>
    <row r="268" spans="1:41" x14ac:dyDescent="0.4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row>
    <row r="269" spans="1:41" x14ac:dyDescent="0.4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row>
    <row r="270" spans="1:41" x14ac:dyDescent="0.4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row>
    <row r="271" spans="1:41" x14ac:dyDescent="0.4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row>
    <row r="272" spans="1:41" x14ac:dyDescent="0.4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row>
    <row r="273" spans="1:41" x14ac:dyDescent="0.4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row>
    <row r="274" spans="1:41" x14ac:dyDescent="0.4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row>
    <row r="275" spans="1:41" x14ac:dyDescent="0.4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row>
    <row r="276" spans="1:41" x14ac:dyDescent="0.4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row>
    <row r="277" spans="1:41" x14ac:dyDescent="0.4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row>
    <row r="278" spans="1:41" x14ac:dyDescent="0.4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row>
    <row r="279" spans="1:41" x14ac:dyDescent="0.4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row>
    <row r="280" spans="1:41" x14ac:dyDescent="0.4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row>
    <row r="281" spans="1:41" x14ac:dyDescent="0.4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row>
    <row r="282" spans="1:41" x14ac:dyDescent="0.4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row>
    <row r="283" spans="1:41" x14ac:dyDescent="0.4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row>
    <row r="284" spans="1:41" x14ac:dyDescent="0.4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row>
    <row r="285" spans="1:41" x14ac:dyDescent="0.4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row>
    <row r="286" spans="1:41" x14ac:dyDescent="0.4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row>
    <row r="287" spans="1:41" x14ac:dyDescent="0.4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row>
    <row r="288" spans="1:41" x14ac:dyDescent="0.4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row>
    <row r="289" spans="1:41" x14ac:dyDescent="0.4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row>
    <row r="290" spans="1:41" x14ac:dyDescent="0.4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row>
    <row r="291" spans="1:41" x14ac:dyDescent="0.4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row>
    <row r="292" spans="1:41" x14ac:dyDescent="0.4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row>
    <row r="293" spans="1:41" x14ac:dyDescent="0.4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row>
    <row r="294" spans="1:41" x14ac:dyDescent="0.4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row>
    <row r="295" spans="1:41" x14ac:dyDescent="0.4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row>
    <row r="296" spans="1:41" x14ac:dyDescent="0.4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row>
    <row r="297" spans="1:41" x14ac:dyDescent="0.4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row>
    <row r="298" spans="1:41" x14ac:dyDescent="0.4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row>
    <row r="299" spans="1:41" x14ac:dyDescent="0.4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row>
    <row r="300" spans="1:41" x14ac:dyDescent="0.4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row>
    <row r="301" spans="1:41" x14ac:dyDescent="0.4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row>
    <row r="302" spans="1:41" x14ac:dyDescent="0.4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row>
    <row r="303" spans="1:41" x14ac:dyDescent="0.4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row>
    <row r="304" spans="1:41" x14ac:dyDescent="0.4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row>
    <row r="305" spans="1:41" x14ac:dyDescent="0.4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row>
    <row r="306" spans="1:41" x14ac:dyDescent="0.4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row>
    <row r="307" spans="1:41" x14ac:dyDescent="0.4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row>
    <row r="308" spans="1:41" x14ac:dyDescent="0.4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row>
    <row r="309" spans="1:41" x14ac:dyDescent="0.4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row>
    <row r="310" spans="1:41" x14ac:dyDescent="0.4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row>
    <row r="311" spans="1:41" x14ac:dyDescent="0.4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row>
    <row r="312" spans="1:41" x14ac:dyDescent="0.4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row>
    <row r="313" spans="1:41" x14ac:dyDescent="0.4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row>
    <row r="314" spans="1:41" x14ac:dyDescent="0.4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row>
    <row r="315" spans="1:41" x14ac:dyDescent="0.4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row>
    <row r="316" spans="1:41" x14ac:dyDescent="0.4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row>
    <row r="317" spans="1:41" x14ac:dyDescent="0.4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row>
    <row r="318" spans="1:41" x14ac:dyDescent="0.4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row>
    <row r="319" spans="1:41" x14ac:dyDescent="0.4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row>
    <row r="320" spans="1:41" x14ac:dyDescent="0.4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row>
    <row r="321" spans="1:41" x14ac:dyDescent="0.4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row>
    <row r="322" spans="1:41" x14ac:dyDescent="0.4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row>
    <row r="323" spans="1:41" x14ac:dyDescent="0.4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row>
    <row r="324" spans="1:41" x14ac:dyDescent="0.4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row>
    <row r="325" spans="1:41" x14ac:dyDescent="0.4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row>
    <row r="326" spans="1:41" x14ac:dyDescent="0.4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row>
    <row r="327" spans="1:41" x14ac:dyDescent="0.4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row>
    <row r="328" spans="1:41" x14ac:dyDescent="0.4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row>
    <row r="329" spans="1:41" x14ac:dyDescent="0.4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row>
    <row r="330" spans="1:41" x14ac:dyDescent="0.4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row>
    <row r="331" spans="1:41" x14ac:dyDescent="0.4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row>
    <row r="332" spans="1:41" x14ac:dyDescent="0.4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row>
    <row r="333" spans="1:41" x14ac:dyDescent="0.4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row>
    <row r="334" spans="1:41" x14ac:dyDescent="0.4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row>
    <row r="335" spans="1:41" x14ac:dyDescent="0.4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row>
    <row r="336" spans="1:41" x14ac:dyDescent="0.4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row>
    <row r="337" spans="1:41" x14ac:dyDescent="0.4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row>
    <row r="338" spans="1:41" x14ac:dyDescent="0.4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row>
    <row r="339" spans="1:41" x14ac:dyDescent="0.4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row>
    <row r="340" spans="1:41" x14ac:dyDescent="0.4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row>
    <row r="341" spans="1:41" x14ac:dyDescent="0.4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row>
    <row r="342" spans="1:41" x14ac:dyDescent="0.4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row>
    <row r="343" spans="1:41" x14ac:dyDescent="0.4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row>
    <row r="344" spans="1:41" x14ac:dyDescent="0.4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row>
    <row r="345" spans="1:41" x14ac:dyDescent="0.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row>
    <row r="346" spans="1:41" x14ac:dyDescent="0.4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row>
    <row r="347" spans="1:41" x14ac:dyDescent="0.4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row>
    <row r="348" spans="1:41" x14ac:dyDescent="0.4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row>
    <row r="349" spans="1:41" x14ac:dyDescent="0.4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row>
    <row r="350" spans="1:41" x14ac:dyDescent="0.4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row>
    <row r="351" spans="1:41" x14ac:dyDescent="0.4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row>
    <row r="352" spans="1:41" x14ac:dyDescent="0.4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row>
    <row r="353" spans="1:41" x14ac:dyDescent="0.4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row>
    <row r="354" spans="1:41" x14ac:dyDescent="0.4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row>
    <row r="355" spans="1:41" x14ac:dyDescent="0.4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row>
    <row r="356" spans="1:41" x14ac:dyDescent="0.4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row>
    <row r="357" spans="1:41" x14ac:dyDescent="0.4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row>
    <row r="358" spans="1:41" x14ac:dyDescent="0.4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row>
    <row r="359" spans="1:41" x14ac:dyDescent="0.4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row>
    <row r="360" spans="1:41" x14ac:dyDescent="0.4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row>
    <row r="361" spans="1:41" x14ac:dyDescent="0.4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row>
    <row r="362" spans="1:41" x14ac:dyDescent="0.4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row>
    <row r="363" spans="1:41" x14ac:dyDescent="0.4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row>
    <row r="364" spans="1:41" x14ac:dyDescent="0.4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row>
    <row r="365" spans="1:41" x14ac:dyDescent="0.4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row>
    <row r="366" spans="1:41" x14ac:dyDescent="0.4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row>
    <row r="367" spans="1:41" x14ac:dyDescent="0.4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row>
    <row r="368" spans="1:41" x14ac:dyDescent="0.4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row>
    <row r="369" spans="1:41" x14ac:dyDescent="0.4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row>
    <row r="370" spans="1:41" x14ac:dyDescent="0.4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row>
    <row r="371" spans="1:41" x14ac:dyDescent="0.4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row>
    <row r="372" spans="1:41" x14ac:dyDescent="0.4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row>
    <row r="373" spans="1:41" x14ac:dyDescent="0.4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row>
    <row r="374" spans="1:41" x14ac:dyDescent="0.4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row>
    <row r="375" spans="1:41" x14ac:dyDescent="0.4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row>
    <row r="376" spans="1:41" x14ac:dyDescent="0.4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row>
    <row r="377" spans="1:41" x14ac:dyDescent="0.4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row>
    <row r="378" spans="1:41" x14ac:dyDescent="0.4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row>
    <row r="379" spans="1:41" x14ac:dyDescent="0.4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row>
    <row r="380" spans="1:41" x14ac:dyDescent="0.4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row>
    <row r="381" spans="1:41" x14ac:dyDescent="0.4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row>
    <row r="382" spans="1:41" x14ac:dyDescent="0.4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row>
    <row r="383" spans="1:41" x14ac:dyDescent="0.4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row>
    <row r="384" spans="1:41" x14ac:dyDescent="0.4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row>
    <row r="385" spans="1:41" x14ac:dyDescent="0.4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row>
    <row r="386" spans="1:41" x14ac:dyDescent="0.4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row>
    <row r="387" spans="1:41" x14ac:dyDescent="0.4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row>
    <row r="388" spans="1:41" x14ac:dyDescent="0.4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row>
    <row r="389" spans="1:41" x14ac:dyDescent="0.4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row>
    <row r="390" spans="1:41" x14ac:dyDescent="0.4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row>
    <row r="391" spans="1:41" x14ac:dyDescent="0.4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row>
    <row r="392" spans="1:41" x14ac:dyDescent="0.4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row>
    <row r="393" spans="1:41" x14ac:dyDescent="0.4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row>
    <row r="394" spans="1:41" x14ac:dyDescent="0.4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row>
    <row r="395" spans="1:41" x14ac:dyDescent="0.4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row>
    <row r="396" spans="1:41" x14ac:dyDescent="0.4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row>
    <row r="397" spans="1:41" x14ac:dyDescent="0.4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row>
    <row r="398" spans="1:41" x14ac:dyDescent="0.4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row>
    <row r="399" spans="1:41" x14ac:dyDescent="0.4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row>
    <row r="400" spans="1:41" x14ac:dyDescent="0.4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row>
    <row r="401" spans="1:41" x14ac:dyDescent="0.4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row>
    <row r="402" spans="1:41" x14ac:dyDescent="0.4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row>
    <row r="403" spans="1:41" x14ac:dyDescent="0.4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row>
    <row r="404" spans="1:41" x14ac:dyDescent="0.4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row>
    <row r="405" spans="1:41" x14ac:dyDescent="0.4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row>
    <row r="406" spans="1:41" x14ac:dyDescent="0.4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row>
    <row r="407" spans="1:41" x14ac:dyDescent="0.4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row>
    <row r="408" spans="1:41" x14ac:dyDescent="0.4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row>
    <row r="409" spans="1:41" x14ac:dyDescent="0.4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row>
    <row r="410" spans="1:41" x14ac:dyDescent="0.4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row>
    <row r="411" spans="1:41" x14ac:dyDescent="0.4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row>
    <row r="412" spans="1:41" x14ac:dyDescent="0.4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row>
    <row r="413" spans="1:41" x14ac:dyDescent="0.4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row>
    <row r="414" spans="1:41" x14ac:dyDescent="0.4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row>
    <row r="415" spans="1:41" x14ac:dyDescent="0.4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row>
    <row r="416" spans="1:41" x14ac:dyDescent="0.4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row>
    <row r="417" spans="1:41" x14ac:dyDescent="0.4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row>
    <row r="418" spans="1:41" x14ac:dyDescent="0.4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row>
    <row r="419" spans="1:41" x14ac:dyDescent="0.4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row>
    <row r="420" spans="1:41" x14ac:dyDescent="0.4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row>
    <row r="421" spans="1:41" x14ac:dyDescent="0.4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row>
    <row r="422" spans="1:41" x14ac:dyDescent="0.4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row>
    <row r="423" spans="1:41" x14ac:dyDescent="0.4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row>
    <row r="424" spans="1:41" x14ac:dyDescent="0.4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row>
    <row r="425" spans="1:41" x14ac:dyDescent="0.4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row>
    <row r="426" spans="1:41" x14ac:dyDescent="0.4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row>
    <row r="427" spans="1:41" x14ac:dyDescent="0.4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row>
    <row r="428" spans="1:41" x14ac:dyDescent="0.4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row>
    <row r="429" spans="1:41" x14ac:dyDescent="0.4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row>
    <row r="430" spans="1:41" x14ac:dyDescent="0.4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row>
    <row r="431" spans="1:41" x14ac:dyDescent="0.4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row>
    <row r="432" spans="1:41" x14ac:dyDescent="0.4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row>
    <row r="433" spans="1:41" x14ac:dyDescent="0.4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row>
    <row r="434" spans="1:41" x14ac:dyDescent="0.4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row>
    <row r="435" spans="1:41" x14ac:dyDescent="0.4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row>
    <row r="436" spans="1:41" x14ac:dyDescent="0.4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row>
    <row r="437" spans="1:41" x14ac:dyDescent="0.4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row>
    <row r="438" spans="1:41" x14ac:dyDescent="0.4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row>
    <row r="439" spans="1:41" x14ac:dyDescent="0.4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row>
    <row r="440" spans="1:41" x14ac:dyDescent="0.4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row>
    <row r="441" spans="1:41" x14ac:dyDescent="0.4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row>
    <row r="442" spans="1:41" x14ac:dyDescent="0.4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row>
    <row r="443" spans="1:41" x14ac:dyDescent="0.4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row>
    <row r="444" spans="1:41" x14ac:dyDescent="0.4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row>
    <row r="445" spans="1:41" x14ac:dyDescent="0.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row>
    <row r="446" spans="1:41" x14ac:dyDescent="0.4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row>
    <row r="447" spans="1:41" x14ac:dyDescent="0.4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row>
    <row r="448" spans="1:41" x14ac:dyDescent="0.4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row>
    <row r="449" spans="1:41" x14ac:dyDescent="0.4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row>
    <row r="450" spans="1:41" x14ac:dyDescent="0.4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row>
    <row r="451" spans="1:41" x14ac:dyDescent="0.4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row>
    <row r="452" spans="1:41" x14ac:dyDescent="0.4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row>
    <row r="453" spans="1:41" x14ac:dyDescent="0.4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row>
    <row r="454" spans="1:41" x14ac:dyDescent="0.4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row>
    <row r="455" spans="1:41" x14ac:dyDescent="0.4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row>
    <row r="456" spans="1:41" x14ac:dyDescent="0.4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row>
    <row r="457" spans="1:41" x14ac:dyDescent="0.4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row>
    <row r="458" spans="1:41" x14ac:dyDescent="0.4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row>
    <row r="459" spans="1:41" x14ac:dyDescent="0.4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row>
    <row r="460" spans="1:41" x14ac:dyDescent="0.4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row>
    <row r="461" spans="1:41" x14ac:dyDescent="0.4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row>
    <row r="462" spans="1:41" x14ac:dyDescent="0.4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row>
    <row r="463" spans="1:41" x14ac:dyDescent="0.4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row>
    <row r="464" spans="1:41" x14ac:dyDescent="0.4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row>
    <row r="465" spans="1:41" x14ac:dyDescent="0.4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row>
    <row r="466" spans="1:41" x14ac:dyDescent="0.4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row>
    <row r="467" spans="1:41" x14ac:dyDescent="0.4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row>
    <row r="468" spans="1:41" x14ac:dyDescent="0.4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row>
    <row r="469" spans="1:41" x14ac:dyDescent="0.4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row>
    <row r="470" spans="1:41" x14ac:dyDescent="0.4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row>
    <row r="471" spans="1:41" x14ac:dyDescent="0.4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row>
    <row r="472" spans="1:41" x14ac:dyDescent="0.4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row>
    <row r="473" spans="1:41" x14ac:dyDescent="0.4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row>
    <row r="474" spans="1:41" x14ac:dyDescent="0.4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row>
    <row r="475" spans="1:41" x14ac:dyDescent="0.4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row>
    <row r="476" spans="1:41" x14ac:dyDescent="0.4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row>
    <row r="477" spans="1:41" x14ac:dyDescent="0.4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row>
    <row r="478" spans="1:41" x14ac:dyDescent="0.4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row>
    <row r="479" spans="1:41" x14ac:dyDescent="0.4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row>
    <row r="480" spans="1:41" x14ac:dyDescent="0.4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row>
    <row r="481" spans="1:41" x14ac:dyDescent="0.4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row>
    <row r="482" spans="1:41" x14ac:dyDescent="0.45">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row>
    <row r="483" spans="1:41" x14ac:dyDescent="0.45">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row>
    <row r="484" spans="1:41" x14ac:dyDescent="0.45">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row>
    <row r="485" spans="1:41" x14ac:dyDescent="0.45">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row>
    <row r="486" spans="1:41" x14ac:dyDescent="0.45">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row>
    <row r="487" spans="1:41" x14ac:dyDescent="0.45">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row>
    <row r="488" spans="1:41" x14ac:dyDescent="0.45">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row>
    <row r="489" spans="1:41" x14ac:dyDescent="0.45">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row>
    <row r="490" spans="1:41" x14ac:dyDescent="0.45">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row>
    <row r="491" spans="1:41" x14ac:dyDescent="0.45">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row>
    <row r="492" spans="1:41" x14ac:dyDescent="0.45">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row>
    <row r="493" spans="1:41" x14ac:dyDescent="0.45">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row>
    <row r="494" spans="1:41" x14ac:dyDescent="0.45">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row>
    <row r="495" spans="1:41" x14ac:dyDescent="0.45">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row>
    <row r="496" spans="1:41" x14ac:dyDescent="0.45">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row>
    <row r="497" spans="16:41" x14ac:dyDescent="0.45">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row>
    <row r="498" spans="16:41" x14ac:dyDescent="0.45">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row>
    <row r="499" spans="16:41" x14ac:dyDescent="0.45">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row>
    <row r="500" spans="16:41" x14ac:dyDescent="0.45">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row>
    <row r="501" spans="16:41" x14ac:dyDescent="0.45">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row>
    <row r="502" spans="16:41" x14ac:dyDescent="0.45">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row>
    <row r="503" spans="16:41" x14ac:dyDescent="0.45">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row>
    <row r="504" spans="16:41" x14ac:dyDescent="0.45">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row>
    <row r="505" spans="16:41" x14ac:dyDescent="0.45">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row>
    <row r="506" spans="16:41" x14ac:dyDescent="0.45">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row>
    <row r="507" spans="16:41" x14ac:dyDescent="0.45">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row>
    <row r="508" spans="16:41" x14ac:dyDescent="0.45">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row>
    <row r="509" spans="16:41" x14ac:dyDescent="0.45">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row>
    <row r="510" spans="16:41" x14ac:dyDescent="0.45">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row>
    <row r="511" spans="16:41" x14ac:dyDescent="0.45">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row>
    <row r="512" spans="16:41" x14ac:dyDescent="0.45">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row>
    <row r="513" spans="16:41" x14ac:dyDescent="0.45">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row>
    <row r="514" spans="16:41" x14ac:dyDescent="0.45">
      <c r="P514" s="27"/>
      <c r="Q514" s="27"/>
      <c r="R514" s="27"/>
      <c r="S514" s="27"/>
      <c r="T514" s="27"/>
      <c r="U514" s="27"/>
      <c r="V514" s="27"/>
      <c r="W514" s="27"/>
      <c r="X514" s="27"/>
      <c r="Y514" s="27"/>
      <c r="Z514" s="27"/>
      <c r="AA514" s="27"/>
      <c r="AB514" s="27"/>
      <c r="AC514" s="27"/>
      <c r="AD514" s="27"/>
      <c r="AE514" s="27"/>
      <c r="AF514" s="27"/>
      <c r="AG514" s="27"/>
      <c r="AH514" s="27"/>
      <c r="AI514" s="27"/>
      <c r="AJ514" s="27"/>
      <c r="AK514" s="27"/>
      <c r="AL514" s="27"/>
      <c r="AM514" s="27"/>
      <c r="AN514" s="27"/>
      <c r="AO514" s="27"/>
    </row>
    <row r="515" spans="16:41" x14ac:dyDescent="0.45">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row>
    <row r="516" spans="16:41" x14ac:dyDescent="0.45">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row>
    <row r="517" spans="16:41" x14ac:dyDescent="0.45">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row>
    <row r="518" spans="16:41" x14ac:dyDescent="0.45">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row>
    <row r="519" spans="16:41" x14ac:dyDescent="0.45">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row>
    <row r="520" spans="16:41" x14ac:dyDescent="0.45">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row>
    <row r="521" spans="16:41" x14ac:dyDescent="0.45">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row>
    <row r="522" spans="16:41" x14ac:dyDescent="0.45">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row>
    <row r="523" spans="16:41" x14ac:dyDescent="0.45">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row>
    <row r="524" spans="16:41" x14ac:dyDescent="0.45">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row>
    <row r="525" spans="16:41" x14ac:dyDescent="0.45">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row>
    <row r="526" spans="16:41" x14ac:dyDescent="0.45">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row>
    <row r="527" spans="16:41" x14ac:dyDescent="0.45">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row>
    <row r="528" spans="16:41" x14ac:dyDescent="0.45">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row>
    <row r="529" spans="16:41" x14ac:dyDescent="0.45">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row>
    <row r="530" spans="16:41" x14ac:dyDescent="0.45">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row>
    <row r="531" spans="16:41" x14ac:dyDescent="0.45">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row>
    <row r="532" spans="16:41" x14ac:dyDescent="0.45">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row>
    <row r="533" spans="16:41" x14ac:dyDescent="0.45">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row>
    <row r="534" spans="16:41" x14ac:dyDescent="0.45">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row>
    <row r="535" spans="16:41" x14ac:dyDescent="0.45">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row>
    <row r="536" spans="16:41" x14ac:dyDescent="0.45">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row>
    <row r="537" spans="16:41" x14ac:dyDescent="0.45">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row>
    <row r="538" spans="16:41" x14ac:dyDescent="0.45">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row>
    <row r="539" spans="16:41" x14ac:dyDescent="0.45">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row>
    <row r="540" spans="16:41" x14ac:dyDescent="0.45">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row>
    <row r="541" spans="16:41" x14ac:dyDescent="0.45">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row>
    <row r="542" spans="16:41" x14ac:dyDescent="0.45">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row>
    <row r="543" spans="16:41" x14ac:dyDescent="0.45">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row>
    <row r="544" spans="16:41" x14ac:dyDescent="0.45">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row>
    <row r="545" spans="16:41" x14ac:dyDescent="0.45">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row>
    <row r="546" spans="16:41" x14ac:dyDescent="0.45">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row>
    <row r="547" spans="16:41" x14ac:dyDescent="0.45">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row>
    <row r="548" spans="16:41" x14ac:dyDescent="0.45">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row>
    <row r="549" spans="16:41" x14ac:dyDescent="0.45">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row>
    <row r="550" spans="16:41" x14ac:dyDescent="0.45">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row>
    <row r="551" spans="16:41" x14ac:dyDescent="0.45">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row>
    <row r="552" spans="16:41" x14ac:dyDescent="0.45">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row>
    <row r="553" spans="16:41" x14ac:dyDescent="0.45">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row>
    <row r="554" spans="16:41" x14ac:dyDescent="0.45">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row>
    <row r="555" spans="16:41" x14ac:dyDescent="0.45">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row>
    <row r="556" spans="16:41" x14ac:dyDescent="0.45">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row>
    <row r="557" spans="16:41" x14ac:dyDescent="0.45">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row>
    <row r="558" spans="16:41" x14ac:dyDescent="0.45">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row>
    <row r="559" spans="16:41" x14ac:dyDescent="0.45">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row>
    <row r="560" spans="16:41" x14ac:dyDescent="0.45">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row>
    <row r="561" spans="16:41" x14ac:dyDescent="0.45">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row>
    <row r="562" spans="16:41" x14ac:dyDescent="0.45">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row>
    <row r="563" spans="16:41" x14ac:dyDescent="0.45">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row>
    <row r="564" spans="16:41" x14ac:dyDescent="0.45">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row>
    <row r="565" spans="16:41" x14ac:dyDescent="0.45">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row>
    <row r="566" spans="16:41" x14ac:dyDescent="0.45">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row>
    <row r="567" spans="16:41" x14ac:dyDescent="0.45">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row>
    <row r="568" spans="16:41" x14ac:dyDescent="0.45">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row>
    <row r="569" spans="16:41" x14ac:dyDescent="0.45">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row>
    <row r="570" spans="16:41" x14ac:dyDescent="0.45">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row>
    <row r="571" spans="16:41" x14ac:dyDescent="0.45">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row>
    <row r="572" spans="16:41" x14ac:dyDescent="0.45">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row>
    <row r="573" spans="16:41" x14ac:dyDescent="0.45">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row>
    <row r="574" spans="16:41" x14ac:dyDescent="0.45">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row>
    <row r="575" spans="16:41" x14ac:dyDescent="0.45">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row>
    <row r="576" spans="16:41" x14ac:dyDescent="0.45">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row>
    <row r="577" spans="16:41" x14ac:dyDescent="0.45">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row>
    <row r="578" spans="16:41" x14ac:dyDescent="0.45">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row>
    <row r="579" spans="16:41" x14ac:dyDescent="0.45">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row>
    <row r="580" spans="16:41" x14ac:dyDescent="0.45">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row>
    <row r="581" spans="16:41" x14ac:dyDescent="0.45">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row>
    <row r="582" spans="16:41" x14ac:dyDescent="0.45">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row>
    <row r="583" spans="16:41" x14ac:dyDescent="0.45">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row>
    <row r="584" spans="16:41" x14ac:dyDescent="0.45">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row>
    <row r="585" spans="16:41" x14ac:dyDescent="0.45">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row>
    <row r="586" spans="16:41" x14ac:dyDescent="0.45">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row>
    <row r="587" spans="16:41" x14ac:dyDescent="0.45">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row>
    <row r="588" spans="16:41" x14ac:dyDescent="0.45">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row>
    <row r="589" spans="16:41" x14ac:dyDescent="0.45">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row>
    <row r="590" spans="16:41" x14ac:dyDescent="0.45">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row>
    <row r="591" spans="16:41" x14ac:dyDescent="0.45">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row>
    <row r="592" spans="16:41" x14ac:dyDescent="0.45">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row>
    <row r="593" spans="16:41" x14ac:dyDescent="0.45">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row>
    <row r="594" spans="16:41" x14ac:dyDescent="0.45">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row>
    <row r="595" spans="16:41" x14ac:dyDescent="0.45">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row>
    <row r="596" spans="16:41" x14ac:dyDescent="0.45">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row>
    <row r="597" spans="16:41" x14ac:dyDescent="0.45">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row>
    <row r="598" spans="16:41" x14ac:dyDescent="0.45">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row>
    <row r="599" spans="16:41" x14ac:dyDescent="0.45">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row>
    <row r="600" spans="16:41" x14ac:dyDescent="0.45">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row>
    <row r="601" spans="16:41" x14ac:dyDescent="0.45">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row>
    <row r="602" spans="16:41" x14ac:dyDescent="0.45">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row>
    <row r="603" spans="16:41" x14ac:dyDescent="0.45">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row>
    <row r="604" spans="16:41" x14ac:dyDescent="0.45">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row>
    <row r="605" spans="16:41" x14ac:dyDescent="0.45">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row>
    <row r="606" spans="16:41" x14ac:dyDescent="0.45">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row>
    <row r="607" spans="16:41" x14ac:dyDescent="0.45">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row>
    <row r="608" spans="16:41" x14ac:dyDescent="0.45">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row>
    <row r="609" spans="16:41" x14ac:dyDescent="0.45">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row>
    <row r="610" spans="16:41" x14ac:dyDescent="0.45">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row>
    <row r="611" spans="16:41" x14ac:dyDescent="0.45">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row>
    <row r="612" spans="16:41" x14ac:dyDescent="0.45">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row>
    <row r="613" spans="16:41" x14ac:dyDescent="0.45">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row>
    <row r="614" spans="16:41" x14ac:dyDescent="0.45">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row>
    <row r="615" spans="16:41" x14ac:dyDescent="0.45">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row>
    <row r="616" spans="16:41" x14ac:dyDescent="0.45">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row>
    <row r="617" spans="16:41" x14ac:dyDescent="0.45">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row>
    <row r="618" spans="16:41" x14ac:dyDescent="0.45">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row>
    <row r="619" spans="16:41" x14ac:dyDescent="0.45">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row>
    <row r="620" spans="16:41" x14ac:dyDescent="0.45">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row>
    <row r="621" spans="16:41" x14ac:dyDescent="0.45">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row>
    <row r="622" spans="16:41" x14ac:dyDescent="0.45">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row>
    <row r="623" spans="16:41" x14ac:dyDescent="0.45">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row>
    <row r="624" spans="16:41" x14ac:dyDescent="0.45">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row>
    <row r="625" spans="16:41" x14ac:dyDescent="0.45">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row>
    <row r="626" spans="16:41" x14ac:dyDescent="0.45">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row>
    <row r="627" spans="16:41" x14ac:dyDescent="0.45">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row>
    <row r="628" spans="16:41" x14ac:dyDescent="0.45">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row>
    <row r="629" spans="16:41" x14ac:dyDescent="0.45">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row>
    <row r="630" spans="16:41" x14ac:dyDescent="0.45">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row>
    <row r="631" spans="16:41" x14ac:dyDescent="0.45">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row>
    <row r="632" spans="16:41" x14ac:dyDescent="0.45">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row>
    <row r="633" spans="16:41" x14ac:dyDescent="0.45">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row>
    <row r="634" spans="16:41" x14ac:dyDescent="0.45">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row>
    <row r="635" spans="16:41" x14ac:dyDescent="0.45">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row>
    <row r="636" spans="16:41" x14ac:dyDescent="0.45">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row>
    <row r="637" spans="16:41" x14ac:dyDescent="0.45">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row>
    <row r="638" spans="16:41" x14ac:dyDescent="0.45">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row>
    <row r="639" spans="16:41" x14ac:dyDescent="0.45">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row>
    <row r="640" spans="16:41" x14ac:dyDescent="0.45">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row>
    <row r="641" spans="16:41" x14ac:dyDescent="0.45">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row>
    <row r="642" spans="16:41" x14ac:dyDescent="0.45">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row>
    <row r="643" spans="16:41" x14ac:dyDescent="0.45">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row>
    <row r="644" spans="16:41" x14ac:dyDescent="0.45">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row>
    <row r="645" spans="16:41" x14ac:dyDescent="0.45">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row>
    <row r="646" spans="16:41" x14ac:dyDescent="0.45">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row>
    <row r="647" spans="16:41" x14ac:dyDescent="0.45">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row>
    <row r="648" spans="16:41" x14ac:dyDescent="0.45">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row>
    <row r="649" spans="16:41" x14ac:dyDescent="0.45">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row>
    <row r="650" spans="16:41" x14ac:dyDescent="0.45">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row>
    <row r="651" spans="16:41" x14ac:dyDescent="0.45">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row>
    <row r="652" spans="16:41" x14ac:dyDescent="0.45">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row>
    <row r="653" spans="16:41" x14ac:dyDescent="0.45">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row>
    <row r="654" spans="16:41" x14ac:dyDescent="0.45">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row>
    <row r="655" spans="16:41" x14ac:dyDescent="0.45">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row>
    <row r="656" spans="16:41" x14ac:dyDescent="0.45">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row>
    <row r="657" spans="16:41" x14ac:dyDescent="0.45">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row>
    <row r="658" spans="16:41" x14ac:dyDescent="0.45">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row>
    <row r="659" spans="16:41" x14ac:dyDescent="0.45">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row>
    <row r="660" spans="16:41" x14ac:dyDescent="0.45">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row>
    <row r="661" spans="16:41" x14ac:dyDescent="0.45">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row>
    <row r="662" spans="16:41" x14ac:dyDescent="0.45">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row>
    <row r="663" spans="16:41" x14ac:dyDescent="0.45">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row>
    <row r="664" spans="16:41" x14ac:dyDescent="0.45">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row>
    <row r="665" spans="16:41" x14ac:dyDescent="0.45">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row>
    <row r="666" spans="16:41" x14ac:dyDescent="0.45">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row>
    <row r="667" spans="16:41" x14ac:dyDescent="0.45">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row>
    <row r="668" spans="16:41" x14ac:dyDescent="0.45">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row>
    <row r="669" spans="16:41" x14ac:dyDescent="0.45">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row>
    <row r="670" spans="16:41" x14ac:dyDescent="0.45">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row>
    <row r="671" spans="16:41" x14ac:dyDescent="0.45">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row>
    <row r="672" spans="16:41" x14ac:dyDescent="0.45">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row>
    <row r="673" spans="16:41" x14ac:dyDescent="0.45">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row>
    <row r="674" spans="16:41" x14ac:dyDescent="0.45">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row>
    <row r="675" spans="16:41" x14ac:dyDescent="0.45">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row>
    <row r="676" spans="16:41" x14ac:dyDescent="0.45">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row>
    <row r="677" spans="16:41" x14ac:dyDescent="0.45">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row>
    <row r="678" spans="16:41" x14ac:dyDescent="0.45">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row>
    <row r="679" spans="16:41" x14ac:dyDescent="0.45">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row>
    <row r="680" spans="16:41" x14ac:dyDescent="0.45">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row>
    <row r="681" spans="16:41" x14ac:dyDescent="0.45">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row>
    <row r="682" spans="16:41" x14ac:dyDescent="0.45">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row>
    <row r="683" spans="16:41" x14ac:dyDescent="0.45">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row>
    <row r="684" spans="16:41" x14ac:dyDescent="0.45">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row>
    <row r="685" spans="16:41" x14ac:dyDescent="0.45">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row>
    <row r="686" spans="16:41" x14ac:dyDescent="0.45">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row>
    <row r="687" spans="16:41" x14ac:dyDescent="0.45">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row>
    <row r="688" spans="16:41" x14ac:dyDescent="0.45">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row>
    <row r="689" spans="16:41" x14ac:dyDescent="0.45">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row>
    <row r="690" spans="16:41" x14ac:dyDescent="0.45">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row>
    <row r="691" spans="16:41" x14ac:dyDescent="0.45">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row>
    <row r="692" spans="16:41" x14ac:dyDescent="0.45">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row>
    <row r="693" spans="16:41" x14ac:dyDescent="0.45">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row>
    <row r="694" spans="16:41" x14ac:dyDescent="0.45">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row>
    <row r="695" spans="16:41" x14ac:dyDescent="0.45">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row>
    <row r="696" spans="16:41" x14ac:dyDescent="0.45">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row>
    <row r="697" spans="16:41" x14ac:dyDescent="0.45">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row>
    <row r="698" spans="16:41" x14ac:dyDescent="0.45">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row>
    <row r="699" spans="16:41" x14ac:dyDescent="0.45">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row>
    <row r="700" spans="16:41" x14ac:dyDescent="0.45">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row>
    <row r="701" spans="16:41" x14ac:dyDescent="0.45">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row>
    <row r="702" spans="16:41" x14ac:dyDescent="0.45">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row>
    <row r="703" spans="16:41" x14ac:dyDescent="0.45">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row>
    <row r="704" spans="16:41" x14ac:dyDescent="0.45">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row>
    <row r="705" spans="16:41" x14ac:dyDescent="0.45">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row>
    <row r="706" spans="16:41" x14ac:dyDescent="0.45">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row>
    <row r="707" spans="16:41" x14ac:dyDescent="0.45">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row>
    <row r="708" spans="16:41" x14ac:dyDescent="0.45">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row>
  </sheetData>
  <conditionalFormatting sqref="R24:V41">
    <cfRule type="dataBar" priority="3">
      <dataBar>
        <cfvo type="num" val="0"/>
        <cfvo type="formula" val="MAX($R$24:$V$41)*2"/>
        <color theme="1" tint="0.249977111117893"/>
      </dataBar>
      <extLst>
        <ext xmlns:x14="http://schemas.microsoft.com/office/spreadsheetml/2009/9/main" uri="{B025F937-C7B1-47D3-B67F-A62EFF666E3E}">
          <x14:id>{6A5969FD-3F28-4C77-BA4D-1B75D5871345}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51E53660-C0B0-4381-9190-6E3B255E525E}">
            <xm:f>R$23=Pivots!$B$55</xm:f>
            <x14:dxf>
              <fill>
                <patternFill>
                  <bgColor theme="8" tint="0.39994506668294322"/>
                </patternFill>
              </fill>
              <border>
                <left style="thin">
                  <color auto="1"/>
                </left>
                <right style="thin">
                  <color auto="1"/>
                </right>
                <vertical/>
                <horizontal/>
              </border>
            </x14:dxf>
          </x14:cfRule>
          <xm:sqref>R23:V41</xm:sqref>
        </x14:conditionalFormatting>
        <x14:conditionalFormatting xmlns:xm="http://schemas.microsoft.com/office/excel/2006/main">
          <x14:cfRule type="dataBar" id="{6A5969FD-3F28-4C77-BA4D-1B75D5871345}">
            <x14:dataBar minLength="0" maxLength="100" gradient="0">
              <x14:cfvo type="num">
                <xm:f>0</xm:f>
              </x14:cfvo>
              <x14:cfvo type="formula">
                <xm:f>MAX($R$24:$V$41)*2</xm:f>
              </x14:cfvo>
              <x14:negativeFillColor rgb="FFFF0000"/>
              <x14:axisColor rgb="FF000000"/>
            </x14:dataBar>
          </x14:cfRule>
          <xm:sqref>R24:V41</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Assets</vt:lpstr>
      <vt:lpstr>Customer Care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Muskaan Bhatia</cp:lastModifiedBy>
  <dcterms:created xsi:type="dcterms:W3CDTF">2021-03-14T20:21:32Z</dcterms:created>
  <dcterms:modified xsi:type="dcterms:W3CDTF">2026-04-26T14:25:20Z</dcterms:modified>
</cp:coreProperties>
</file>